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-文档控制" sheetId="1" state="visible" r:id="rId3"/>
    <sheet name="1-需求与验收" sheetId="2" state="visible" r:id="rId4"/>
    <sheet name="2-物料与耗材清单" sheetId="3" state="visible" r:id="rId5"/>
    <sheet name="3-风险登记册" sheetId="4" state="visible" r:id="rId6"/>
    <sheet name="4-责任矩阵" sheetId="5" state="visible" r:id="rId7"/>
    <sheet name="5-十二周计划" sheetId="6" state="visible" r:id="rId8"/>
    <sheet name="6-测试记录" sheetId="7" state="visible" r:id="rId9"/>
    <sheet name="7-工况实验记录" sheetId="8" state="visible" r:id="rId10"/>
    <sheet name="8-变更记录" sheetId="9" state="visible" r:id="rId11"/>
  </sheets>
  <definedNames>
    <definedName function="false" hidden="true" localSheetId="1" name="_xlnm._FilterDatabase" vbProcedure="false">'1-需求与验收'!$A$3:$G$36</definedName>
    <definedName function="false" hidden="true" localSheetId="2" name="_xlnm._FilterDatabase" vbProcedure="false">'2-物料与耗材清单'!$A$3:$H$16</definedName>
    <definedName function="false" hidden="true" localSheetId="3" name="_xlnm._FilterDatabase" vbProcedure="false">'3-风险登记册'!$A$3:$J$16</definedName>
    <definedName function="false" hidden="true" localSheetId="4" name="_xlnm._FilterDatabase" vbProcedure="false">'4-责任矩阵'!$A$3:$E$12</definedName>
    <definedName function="false" hidden="true" localSheetId="5" name="_xlnm._FilterDatabase" vbProcedure="false">'5-十二周计划'!$A$3:$F$15</definedName>
    <definedName function="false" hidden="true" localSheetId="6" name="_xlnm._FilterDatabase" vbProcedure="false">'6-测试记录'!$A$3:$J$13</definedName>
    <definedName function="false" hidden="true" localSheetId="7" name="_xlnm._FilterDatabase" vbProcedure="false">'7-工况实验记录'!$A$3:$K$10</definedName>
    <definedName function="false" hidden="true" localSheetId="8" name="_xlnm._FilterDatabase" vbProcedure="false">'8-变更记录'!$A$3:$E$9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<sst xmlns="http://schemas.openxmlformats.org/spreadsheetml/2006/main" count="709" uniqueCount="446">
  <si>
    <t xml:space="preserve">项目 8.1 振动状态监测器 · 受控文档台账</t>
  </si>
  <si>
    <t xml:space="preserve">利莫瑞克大学 × LICHPU　工业评估（15 ECTS）· 智慧校园生活实验室 · 主题 8 智能设施与预测性维护</t>
  </si>
  <si>
    <t xml:space="preserve">文件名</t>
  </si>
  <si>
    <t xml:space="preserve">8.1_受控文档台账.xlsx</t>
  </si>
  <si>
    <t xml:space="preserve">版本</t>
  </si>
  <si>
    <t xml:space="preserve">V3.2</t>
  </si>
  <si>
    <t xml:space="preserve">更新日期</t>
  </si>
  <si>
    <t xml:space="preserve">2026-10-16</t>
  </si>
  <si>
    <t xml:space="preserve">技术路线</t>
  </si>
  <si>
    <t xml:space="preserve">ESP32-WROOM-32 单板 + MPU6050（I²C，加速度 + 板载温度）+ DS18B20 表面温度 + Node-RED 仪表板</t>
  </si>
  <si>
    <t xml:space="preserve">装配方式</t>
  </si>
  <si>
    <t xml:space="preserve">**全程免焊接**：模块选购已焊排针版，杜邦线直插，裸线经免焊螺丝端子转接</t>
  </si>
  <si>
    <t xml:space="preserve">对应关口</t>
  </si>
  <si>
    <t xml:space="preserve">第 2 周 需求关口 / 第 3 周 设计关口 / 第 6 周 中期评估</t>
  </si>
  <si>
    <t xml:space="preserve">关联主文档</t>
  </si>
  <si>
    <t xml:space="preserve">8.1_振动状态监测器_项目提案与需求规格说明.docx（提案与需求，评估组成 A）
8.1_振动状态监测器_实施方案.docx（施工、调试与验证手册）</t>
  </si>
  <si>
    <t xml:space="preserve">维护责任人</t>
  </si>
  <si>
    <t xml:space="preserve">P1 项目/客户协调员（风险登记册与计划）；P4 测试/验证（测试记录）</t>
  </si>
  <si>
    <t xml:space="preserve">变更规则</t>
  </si>
  <si>
    <t xml:space="preserve">任一工作表的字段增删须在“8-变更记录”中登记，并由 P1 更新版本号</t>
  </si>
  <si>
    <t xml:space="preserve">评审节奏</t>
  </si>
  <si>
    <t xml:space="preserve">每周例会复核一次；关口前 2 天冻结并导出 PDF 归档</t>
  </si>
  <si>
    <t xml:space="preserve">成本口径</t>
  </si>
  <si>
    <t xml:space="preserve">**预算上限 ¥150；实际采购支出 ¥119.50，结余 ¥30.50**。物料清单已按“预算价 / 实际价”双列登记，详见「2-物料与耗材清单」</t>
  </si>
  <si>
    <t xml:space="preserve">工作表一览</t>
  </si>
  <si>
    <t xml:space="preserve">1-需求与验收</t>
  </si>
  <si>
    <t xml:space="preserve">11 项功能性需求、9 项非功能性需求、13 条验收标准及追溯关系</t>
  </si>
  <si>
    <t xml:space="preserve">2-物料与耗材清单</t>
  </si>
  <si>
    <t xml:space="preserve">14 项物料，含分类小计、含备件合计、预算上限与余量公式</t>
  </si>
  <si>
    <t xml:space="preserve">3-风险登记册</t>
  </si>
  <si>
    <t xml:space="preserve">12 项风险，等级由概率 × 影响自动计算</t>
  </si>
  <si>
    <t xml:space="preserve">4-责任矩阵</t>
  </si>
  <si>
    <t xml:space="preserve">9 项交付物 × 4 个角色的 R/S/C/I 分工</t>
  </si>
  <si>
    <t xml:space="preserve">5-十二周计划</t>
  </si>
  <si>
    <t xml:space="preserve">任务、周次、责任人、交付物与正式关口</t>
  </si>
  <si>
    <t xml:space="preserve">6-测试记录</t>
  </si>
  <si>
    <t xml:space="preserve">测试执行记录模板（对应评估组成 D）</t>
  </si>
  <si>
    <t xml:space="preserve">7-工况实验记录</t>
  </si>
  <si>
    <t xml:space="preserve">工况变化对照实验的数据记录模板</t>
  </si>
  <si>
    <t xml:space="preserve">8-变更记录</t>
  </si>
  <si>
    <t xml:space="preserve">受控文档的版本变更登记</t>
  </si>
  <si>
    <t xml:space="preserve">需求与验收标准（含追溯关系）</t>
  </si>
  <si>
    <t xml:space="preserve">项目 8.1 振动状态监测器 · 受控文档台账　|　版本 V3.2　|　更新日期 2026-10-16　|　维护人：P1</t>
  </si>
  <si>
    <t xml:space="preserve">编号</t>
  </si>
  <si>
    <t xml:space="preserve">类别</t>
  </si>
  <si>
    <t xml:space="preserve">需求 / 判据描述</t>
  </si>
  <si>
    <t xml:space="preserve">优先级</t>
  </si>
  <si>
    <t xml:space="preserve">追溯对象</t>
  </si>
  <si>
    <t xml:space="preserve">验证方法</t>
  </si>
  <si>
    <t xml:space="preserve">证据周次</t>
  </si>
  <si>
    <t xml:space="preserve">FR-01</t>
  </si>
  <si>
    <t xml:space="preserve">功能</t>
  </si>
  <si>
    <t xml:space="preserve">采集振动（I²C，1 kSPS，帧长 1024 点）与两路温度，共三路数据</t>
  </si>
  <si>
    <t xml:space="preserve">M</t>
  </si>
  <si>
    <t xml:space="preserve">AC-01 / AC-04</t>
  </si>
  <si>
    <t xml:space="preserve">单元 + 集成</t>
  </si>
  <si>
    <t xml:space="preserve">第 4 周</t>
  </si>
  <si>
    <t xml:space="preserve">FR-02</t>
  </si>
  <si>
    <t xml:space="preserve">计算时域特征：RMS、峰值、速度有效值（10 ~ 250 Hz 积分）</t>
  </si>
  <si>
    <t xml:space="preserve">AC-03</t>
  </si>
  <si>
    <t xml:space="preserve">单元</t>
  </si>
  <si>
    <t xml:space="preserve">第 5 周</t>
  </si>
  <si>
    <t xml:space="preserve">FR-03</t>
  </si>
  <si>
    <t xml:space="preserve">完成 1024 点 FFT，给出主频与基频带（15 ~ 35 Hz）内峰值</t>
  </si>
  <si>
    <t xml:space="preserve">AC-02</t>
  </si>
  <si>
    <t xml:space="preserve">FR-04</t>
  </si>
  <si>
    <t xml:space="preserve">支持开机基线自学习，并给出相对基线的偏离度</t>
  </si>
  <si>
    <t xml:space="preserve">AC-05 / AC-06</t>
  </si>
  <si>
    <t xml:space="preserve">系统</t>
  </si>
  <si>
    <t xml:space="preserve">第 6 周</t>
  </si>
  <si>
    <t xml:space="preserve">FR-05</t>
  </si>
  <si>
    <t xml:space="preserve">输出“正常 / 注意 / 报警”三级状态与维护建议</t>
  </si>
  <si>
    <t xml:space="preserve">系统 + 验证实验</t>
  </si>
  <si>
    <t xml:space="preserve">第 8 周</t>
  </si>
  <si>
    <t xml:space="preserve">FR-06</t>
  </si>
  <si>
    <t xml:space="preserve">通过 MQTT 上报特征值，周期 ≤ 10 s，事件即时上报</t>
  </si>
  <si>
    <t xml:space="preserve">AC-07</t>
  </si>
  <si>
    <t xml:space="preserve">集成</t>
  </si>
  <si>
    <t xml:space="preserve">FR-07</t>
  </si>
  <si>
    <t xml:space="preserve">断网时本地缓存，网络恢复后补传，不丢数据</t>
  </si>
  <si>
    <t xml:space="preserve">S</t>
  </si>
  <si>
    <t xml:space="preserve">AC-09</t>
  </si>
  <si>
    <t xml:space="preserve">第 10 周</t>
  </si>
  <si>
    <t xml:space="preserve">FR-08</t>
  </si>
  <si>
    <t xml:space="preserve">提供中英双语仪表板，含实时值、历史趋势与频谱</t>
  </si>
  <si>
    <t xml:space="preserve">AC-10</t>
  </si>
  <si>
    <t xml:space="preserve">用户评估</t>
  </si>
  <si>
    <t xml:space="preserve">FR-09</t>
  </si>
  <si>
    <t xml:space="preserve">提供本地指示（板载 LED + 蜂鸣器），无网络时仍可判读</t>
  </si>
  <si>
    <t xml:space="preserve">FR-10</t>
  </si>
  <si>
    <t xml:space="preserve">记录报警事件（含触发指标与时间戳）并可导出</t>
  </si>
  <si>
    <t xml:space="preserve">第 9 周</t>
  </si>
  <si>
    <t xml:space="preserve">FR-11</t>
  </si>
  <si>
    <t xml:space="preserve">支持板载按键重新学习基线与静音</t>
  </si>
  <si>
    <t xml:space="preserve">C</t>
  </si>
  <si>
    <t xml:space="preserve">—</t>
  </si>
  <si>
    <t xml:space="preserve">现场操作</t>
  </si>
  <si>
    <t xml:space="preserve">NFR-01</t>
  </si>
  <si>
    <t xml:space="preserve">非功能</t>
  </si>
  <si>
    <t xml:space="preserve">全部电路 ≤ 5 V 直流（USB 供电），不接触市电；转动部件加防护</t>
  </si>
  <si>
    <t xml:space="preserve">走查</t>
  </si>
  <si>
    <t xml:space="preserve">第 3 周</t>
  </si>
  <si>
    <t xml:space="preserve">NFR-02</t>
  </si>
  <si>
    <t xml:space="preserve">不使用摄像头或麦克风，不采集任何可识别个人的数据</t>
  </si>
  <si>
    <t xml:space="preserve">NFR-03</t>
  </si>
  <si>
    <t xml:space="preserve">连续运行 ≥ 72 h 无重启；看门狗、掉电恢复、断网自愈</t>
  </si>
  <si>
    <t xml:space="preserve">AC-08</t>
  </si>
  <si>
    <t xml:space="preserve">NFR-04</t>
  </si>
  <si>
    <t xml:space="preserve">模块可现场插拔更换且免重新编译；基线可一键重学</t>
  </si>
  <si>
    <t xml:space="preserve">NFR-05</t>
  </si>
  <si>
    <t xml:space="preserve">单节点成本 ≤ ¥150（含耗材与备件）</t>
  </si>
  <si>
    <t xml:space="preserve">AC-11</t>
  </si>
  <si>
    <t xml:space="preserve">核算</t>
  </si>
  <si>
    <t xml:space="preserve">NFR-06</t>
  </si>
  <si>
    <t xml:space="preserve">仪表板中英双语；状态用文字 + 图标 + 颜色三重编码；字号可调</t>
  </si>
  <si>
    <t xml:space="preserve">NFR-07</t>
  </si>
  <si>
    <t xml:space="preserve">数据模型带版本号并有文档，可被第三方平台订阅复用</t>
  </si>
  <si>
    <t xml:space="preserve">NFR-08</t>
  </si>
  <si>
    <t xml:space="preserve">全程无需焊接，仅使用杜邦线与免焊端子</t>
  </si>
  <si>
    <t xml:space="preserve">AC-13</t>
  </si>
  <si>
    <t xml:space="preserve">NFR-09</t>
  </si>
  <si>
    <t xml:space="preserve">外壳防护 ≥ IP54，工作温度 0 ~ 50 ℃</t>
  </si>
  <si>
    <t xml:space="preserve">AC-01</t>
  </si>
  <si>
    <t xml:space="preserve">验收</t>
  </si>
  <si>
    <t xml:space="preserve">振动采样率误差 ≤ 0.5 %</t>
  </si>
  <si>
    <t xml:space="preserve">连续采集 1 s 统计实际点数（1000 ± 5）</t>
  </si>
  <si>
    <t xml:space="preserve">频谱频率误差 ≤ 1 % 或 ≤ Δf</t>
  </si>
  <si>
    <t xml:space="preserve">音箱振膜 + 100 Hz 正弦验证</t>
  </si>
  <si>
    <t xml:space="preserve">幅值相对偏差 ≤ 10 %</t>
  </si>
  <si>
    <t xml:space="preserve">与手持测振仪同点同时比对</t>
  </si>
  <si>
    <t xml:space="preserve">第 7 周</t>
  </si>
  <si>
    <t xml:space="preserve">AC-04</t>
  </si>
  <si>
    <t xml:space="preserve">温度测量准确度 ± 0.5 ℃</t>
  </si>
  <si>
    <t xml:space="preserve">冰水浴与温水比对</t>
  </si>
  <si>
    <t xml:space="preserve">AC-05</t>
  </si>
  <si>
    <t xml:space="preserve">3 类工况变化中至少 2 类在 60 s 内检出并分级正确</t>
  </si>
  <si>
    <t xml:space="preserve">不平衡 / 松动 / 负载变化对照实验</t>
  </si>
  <si>
    <t xml:space="preserve">AC-06</t>
  </si>
  <si>
    <t xml:space="preserve">正常工况 2 h 内假阳性 ≤ 1 次</t>
  </si>
  <si>
    <t xml:space="preserve">正常工况长时运行</t>
  </si>
  <si>
    <t xml:space="preserve">报警端到端延迟 ≤ 5 s</t>
  </si>
  <si>
    <t xml:space="preserve">注入越限信号并计时</t>
  </si>
  <si>
    <t xml:space="preserve">连续运行 ≥ 72 h 无重启，丢数率 ≤ 1 %</t>
  </si>
  <si>
    <t xml:space="preserve">不间断运行并统计记录条数</t>
  </si>
  <si>
    <t xml:space="preserve">断网 ≤ 30 s 内自动重连并补传</t>
  </si>
  <si>
    <t xml:space="preserve">FR-07 / FR-09</t>
  </si>
  <si>
    <t xml:space="preserve">拔插网线测试</t>
  </si>
  <si>
    <t xml:space="preserve">仪表板刷新 ≤ 5 s；历史可查 ≥ 4 周</t>
  </si>
  <si>
    <t xml:space="preserve">FR-08 / FR-10</t>
  </si>
  <si>
    <t xml:space="preserve">走查 + 数据库查询</t>
  </si>
  <si>
    <t xml:space="preserve">单节点成本 ≤ ¥150</t>
  </si>
  <si>
    <t xml:space="preserve">按物料清单核算（本版 ¥94 / ¥119）</t>
  </si>
  <si>
    <t xml:space="preserve">AC-12</t>
  </si>
  <si>
    <t xml:space="preserve">重复性：变异系数 ≤ 3 %</t>
  </si>
  <si>
    <t xml:space="preserve">FR-02 / FR-03</t>
  </si>
  <si>
    <t xml:space="preserve">同一工况重复测量 10 次</t>
  </si>
  <si>
    <t xml:space="preserve">免焊接装配：全部连接为插拔或免焊端子</t>
  </si>
  <si>
    <t xml:space="preserve">装配过程走查与记录</t>
  </si>
  <si>
    <t xml:space="preserve">优先级：M 必须 / S 应该 / C 可以。验收标准均须附测量记录，证据归档到 Git 仓库 /evidence 目录。</t>
  </si>
  <si>
    <t xml:space="preserve">物料与耗材清单（预算价 / 实际采购价对照，预算上限 ¥150）</t>
  </si>
  <si>
    <t xml:space="preserve">#</t>
  </si>
  <si>
    <t xml:space="preserve">物料 / 规格</t>
  </si>
  <si>
    <t xml:space="preserve">数量</t>
  </si>
  <si>
    <t xml:space="preserve">预算单价 ¥</t>
  </si>
  <si>
    <t xml:space="preserve">实际单价 ¥</t>
  </si>
  <si>
    <t xml:space="preserve">实际小计 ¥</t>
  </si>
  <si>
    <t xml:space="preserve">采购备注</t>
  </si>
  <si>
    <t xml:space="preserve">1</t>
  </si>
  <si>
    <t xml:space="preserve">主要器件</t>
  </si>
  <si>
    <t xml:space="preserve">ESP32-WROOM-32 开发板（CH340C，已焊针 30Pin，Type-C）</t>
  </si>
  <si>
    <t xml:space="preserve">含备件；淘宝</t>
  </si>
  <si>
    <t xml:space="preserve">2</t>
  </si>
  <si>
    <t xml:space="preserve">MPU-6050 三轴重力加速度模块（GY-521，已焊针，I²C）</t>
  </si>
  <si>
    <t xml:space="preserve">到货读 WHO_AM_I 应为 0x68</t>
  </si>
  <si>
    <t xml:space="preserve">3</t>
  </si>
  <si>
    <t xml:space="preserve">DS18B20 带防水探头转接模块 + 传感器 + 杜邦线</t>
  </si>
  <si>
    <t xml:space="preserve">模块自带绿色端子</t>
  </si>
  <si>
    <t xml:space="preserve">4</t>
  </si>
  <si>
    <t xml:space="preserve">Micro SD 卡模块 SPI 接口（已焊针，带电平转换）</t>
  </si>
  <si>
    <t xml:space="preserve">VCC 先试 3.3 V，不行再 5 V</t>
  </si>
  <si>
    <t xml:space="preserve">5</t>
  </si>
  <si>
    <t xml:space="preserve">microSD 32 GB Class10 A1（联想，全新带 5 年换新）</t>
  </si>
  <si>
    <t xml:space="preserve">不用二手卡；到手拷 4 GB 验容量</t>
  </si>
  <si>
    <t xml:space="preserve">6</t>
  </si>
  <si>
    <t xml:space="preserve">有源蜂鸣器模块（3.3~5 V，低电平触发）</t>
  </si>
  <si>
    <t xml:space="preserve">低电平触发：GPIO25 输出 LOW 时响；上电前先拉高，见实施方案 5.3 ⑤</t>
  </si>
  <si>
    <t xml:space="preserve">7</t>
  </si>
  <si>
    <t xml:space="preserve">静音风扇 5 V 9225（92 mm，1700 RPM，XH2.54-2P）</t>
  </si>
  <si>
    <t xml:space="preserve">转频 28.3 Hz，落在基频带内</t>
  </si>
  <si>
    <t xml:space="preserve">8</t>
  </si>
  <si>
    <t xml:space="preserve">连接件</t>
  </si>
  <si>
    <t xml:space="preserve">TYPE-C 数据线 1 m（可传输数据）</t>
  </si>
  <si>
    <t xml:space="preserve">非纯充电线</t>
  </si>
  <si>
    <t xml:space="preserve">9</t>
  </si>
  <si>
    <t xml:space="preserve">USB 公头转杜邦 2.54 mm 线（给风扇供 5 V）</t>
  </si>
  <si>
    <t xml:space="preserve">10</t>
  </si>
  <si>
    <t xml:space="preserve">杜邦线 母-母 / 母-公 20 cm</t>
  </si>
  <si>
    <t xml:space="preserve">学校提供</t>
  </si>
  <si>
    <t xml:space="preserve">11</t>
  </si>
  <si>
    <t xml:space="preserve">面包板 400 孔（电源轨分配）</t>
  </si>
  <si>
    <t xml:space="preserve">学校 / 自有</t>
  </si>
  <si>
    <t xml:space="preserve">12</t>
  </si>
  <si>
    <t xml:space="preserve">结构电源</t>
  </si>
  <si>
    <t xml:space="preserve">外壳 / 底板 / 配重（快递盒 + 木条 + 硬币）</t>
  </si>
  <si>
    <t xml:space="preserve">自备</t>
  </si>
  <si>
    <t xml:space="preserve">13</t>
  </si>
  <si>
    <t xml:space="preserve">USB 充电器 ×2（ESP32 与风扇各一）</t>
  </si>
  <si>
    <t xml:space="preserve">现有</t>
  </si>
  <si>
    <t xml:space="preserve">实际支出合计</t>
  </si>
  <si>
    <t xml:space="preserve">预算上限（老师要求）</t>
  </si>
  <si>
    <t xml:space="preserve">结余</t>
  </si>
  <si>
    <t xml:space="preserve">按预算单价口径合计（对照）</t>
  </si>
  <si>
    <t xml:space="preserve">说明：实际单价为最终采购价（含税、含运费）；预算单价为方案编制时的估价。杜邦线与面包板由学校提供、外壳与底板自备、电源用现有 USB 充电器，故实际支出为 0。服务端复用现有笔记本，不产生硬件采购。成本判据见「1-需求与验收」AC-11。</t>
  </si>
  <si>
    <t xml:space="preserve">风险登记册（等级 = 概率 × 影响，自动计算）</t>
  </si>
  <si>
    <t xml:space="preserve">ID</t>
  </si>
  <si>
    <t xml:space="preserve">风险描述</t>
  </si>
  <si>
    <t xml:space="preserve">概率 P</t>
  </si>
  <si>
    <t xml:space="preserve">影响 I</t>
  </si>
  <si>
    <t xml:space="preserve">等级</t>
  </si>
  <si>
    <t xml:space="preserve">应对措施</t>
  </si>
  <si>
    <t xml:space="preserve">责任人</t>
  </si>
  <si>
    <t xml:space="preserve">触发条件</t>
  </si>
  <si>
    <t xml:space="preserve">状态</t>
  </si>
  <si>
    <t xml:space="preserve">R-01</t>
  </si>
  <si>
    <t xml:space="preserve">传感器安装方式不当导致高频幅值失真</t>
  </si>
  <si>
    <t xml:space="preserve">技术</t>
  </si>
  <si>
    <t xml:space="preserve">模块贴紧外壳刚性安装，标定记录安装方式并做频响修正</t>
  </si>
  <si>
    <t xml:space="preserve">P2</t>
  </si>
  <si>
    <t xml:space="preserve">不同安装方式下幅值差异 &gt; 10 %</t>
  </si>
  <si>
    <t xml:space="preserve">开放</t>
  </si>
  <si>
    <t xml:space="preserve">R-02</t>
  </si>
  <si>
    <t xml:space="preserve">无标准振动台，幅值无法绝对溯源</t>
  </si>
  <si>
    <t xml:space="preserve">资源</t>
  </si>
  <si>
    <t xml:space="preserve">重力翻转静态标定 + 手持测振仪比对 + 报告不确定度</t>
  </si>
  <si>
    <t xml:space="preserve">P4</t>
  </si>
  <si>
    <t xml:space="preserve">第 7 周仍无可用比对设备</t>
  </si>
  <si>
    <t xml:space="preserve">R-03</t>
  </si>
  <si>
    <t xml:space="preserve">Wi-Fi 覆盖不足或丢包</t>
  </si>
  <si>
    <t xml:space="preserve">基础设施</t>
  </si>
  <si>
    <t xml:space="preserve">本地 SD 先存后传；必要时用手机热点</t>
  </si>
  <si>
    <t xml:space="preserve">P3</t>
  </si>
  <si>
    <t xml:space="preserve">连续丢包 &gt; 1 %</t>
  </si>
  <si>
    <t xml:space="preserve">R-04</t>
  </si>
  <si>
    <t xml:space="preserve">MPU6050 带宽仅 260 Hz，限制可诊断的故障类型</t>
  </si>
  <si>
    <t xml:space="preserve">确认目标故障频率均 &lt; 130 Hz 并写入报告；预留升级到 ICM-42688-P 的路径</t>
  </si>
  <si>
    <t xml:space="preserve">出现 &gt; 260 Hz 的诊断需求</t>
  </si>
  <si>
    <t xml:space="preserve">R-05</t>
  </si>
  <si>
    <t xml:space="preserve">台架转速过低，基频带内无可观测峰值</t>
  </si>
  <si>
    <t xml:space="preserve">选用 1200 r/min 以上风扇；必要时下移基频带并重新标定</t>
  </si>
  <si>
    <t xml:space="preserve">基频峰值 &lt; 15 Hz</t>
  </si>
  <si>
    <t xml:space="preserve">R-06</t>
  </si>
  <si>
    <t xml:space="preserve">到货与预期不符（排针未焊、随附线缆为纯充电线）</t>
  </si>
  <si>
    <t xml:space="preserve">采购</t>
  </si>
  <si>
    <t xml:space="preserve">下单明确勾选“已焊排针”；到货当天验货，不合格立即换货；另备一根数据线</t>
  </si>
  <si>
    <t xml:space="preserve">到货为散件或线缆不可传数据</t>
  </si>
  <si>
    <t xml:space="preserve">R-07</t>
  </si>
  <si>
    <t xml:space="preserve">采样节拍被 Wi-Fi 中断，频谱失真</t>
  </si>
  <si>
    <t xml:space="preserve">采样任务绑定 core 1 并设高优先级；采样用定时器而非 delay</t>
  </si>
  <si>
    <t xml:space="preserve">采样点数偏差 &gt; 0.5 %</t>
  </si>
  <si>
    <t xml:space="preserve">R-08</t>
  </si>
  <si>
    <t xml:space="preserve">MQTT 报文超长导致静默发送失败</t>
  </si>
  <si>
    <t xml:space="preserve">首行设置 setBufferSize(1024)；增加发送返回值检查</t>
  </si>
  <si>
    <t xml:space="preserve">MQTTX 收不到完整 JSON</t>
  </si>
  <si>
    <t xml:space="preserve">R-09</t>
  </si>
  <si>
    <t xml:space="preserve">器件缺货或交期过长</t>
  </si>
  <si>
    <t xml:space="preserve">提前 2 周下单；ESP32 与 MPU6050 各备一件</t>
  </si>
  <si>
    <t xml:space="preserve">交期 &gt; 10 天</t>
  </si>
  <si>
    <t xml:space="preserve">R-10</t>
  </si>
  <si>
    <t xml:space="preserve">团队时间冲突（其他模块考核）</t>
  </si>
  <si>
    <t xml:space="preserve">项目</t>
  </si>
  <si>
    <t xml:space="preserve">周会 + WBS 分解到人；关键路径任务提前一周启动</t>
  </si>
  <si>
    <t xml:space="preserve">P1</t>
  </si>
  <si>
    <t xml:space="preserve">连续两周进度延期</t>
  </si>
  <si>
    <t xml:space="preserve">R-11</t>
  </si>
  <si>
    <t xml:space="preserve">microSD 卡损坏导致历史丢失</t>
  </si>
  <si>
    <t xml:space="preserve">使用 Class10 卡；每日校验落盘；重要数据每周导出到仓库</t>
  </si>
  <si>
    <t xml:space="preserve">文件写入校验失败</t>
  </si>
  <si>
    <t xml:space="preserve">R-12</t>
  </si>
  <si>
    <t xml:space="preserve">Node-RED 或笔记本不可用</t>
  </si>
  <si>
    <t xml:space="preserve">节点本地闭环运行；恢复后补传</t>
  </si>
  <si>
    <t xml:space="preserve">服务端掉线 &gt; 30 min</t>
  </si>
  <si>
    <t xml:space="preserve">R-13</t>
  </si>
  <si>
    <t xml:space="preserve">校准不确定度导致结论不可靠</t>
  </si>
  <si>
    <t xml:space="preserve">验证</t>
  </si>
  <si>
    <t xml:space="preserve">给出不确定度预算，结论附置信区间，避免过度断言</t>
  </si>
  <si>
    <t xml:space="preserve">同点重测偏差 &gt; 10 %</t>
  </si>
  <si>
    <t xml:space="preserve">概率 / 影响取值为 1（低）、2（中）、3（高）。等级 ≥ 6 的风险需在周会上专项跟踪。</t>
  </si>
  <si>
    <t xml:space="preserve">责任矩阵（R 主责 / S 支持 / C 审核 / I 知会）</t>
  </si>
  <si>
    <t xml:space="preserve">交付物</t>
  </si>
  <si>
    <t xml:space="preserve">P1 项目/客户协调员</t>
  </si>
  <si>
    <t xml:space="preserve">P2 硬件/集成</t>
  </si>
  <si>
    <t xml:space="preserve">P3 软件/数据</t>
  </si>
  <si>
    <t xml:space="preserve">P4 测试/文档</t>
  </si>
  <si>
    <t xml:space="preserve">问题定义与需求规格</t>
  </si>
  <si>
    <t xml:space="preserve">R</t>
  </si>
  <si>
    <t xml:space="preserve">系统设计与选型</t>
  </si>
  <si>
    <t xml:space="preserve">硬件搭建与台架</t>
  </si>
  <si>
    <t xml:space="preserve">I</t>
  </si>
  <si>
    <t xml:space="preserve">固件与边缘算法</t>
  </si>
  <si>
    <t xml:space="preserve">通信与仪表板</t>
  </si>
  <si>
    <t xml:space="preserve">校准与测试计划</t>
  </si>
  <si>
    <t xml:space="preserve">验证实验执行与数据分析</t>
  </si>
  <si>
    <t xml:space="preserve">风险登记册与项目记录</t>
  </si>
  <si>
    <t xml:space="preserve">报告、演示与个人日志</t>
  </si>
  <si>
    <t xml:space="preserve">每位成员须同时具备一项主责（R）。中期评审时更新并随报告提交。</t>
  </si>
  <si>
    <t xml:space="preserve">十二周计划与正式关口</t>
  </si>
  <si>
    <t xml:space="preserve">任务</t>
  </si>
  <si>
    <t xml:space="preserve">周次</t>
  </si>
  <si>
    <t xml:space="preserve">关口</t>
  </si>
  <si>
    <t xml:space="preserve">问题定义与校园需求（客户访谈）</t>
  </si>
  <si>
    <t xml:space="preserve">问题陈述、利益相关者、地点、成功标准</t>
  </si>
  <si>
    <t xml:space="preserve">概念评审</t>
  </si>
  <si>
    <t xml:space="preserve">现状对标 · 需求与验收标准 · 伦理/隐私/安全筛查</t>
  </si>
  <si>
    <t xml:space="preserve">P1/P4</t>
  </si>
  <si>
    <t xml:space="preserve">对标分析、11 项 FR、9 项 NFR、13 条 AC、筛查表</t>
  </si>
  <si>
    <t xml:space="preserve">需求关口</t>
  </si>
  <si>
    <t xml:space="preserve">系统设计：架构、选型、物料清单、风险登记册；下单采购</t>
  </si>
  <si>
    <t xml:space="preserve">P2/P3</t>
  </si>
  <si>
    <t xml:space="preserve">架构图、物料清单、风险登记册</t>
  </si>
  <si>
    <t xml:space="preserve">设计关口</t>
  </si>
  <si>
    <t xml:space="preserve">步骤 1~4：最小系统、MPU6050、DS18B20、microSD（免焊接）</t>
  </si>
  <si>
    <t xml:space="preserve">可运行硬件，单元测试记录</t>
  </si>
  <si>
    <t xml:space="preserve">进度评审 1</t>
  </si>
  <si>
    <t xml:space="preserve">步骤 5~6：定时采样与 FFT、特征计算</t>
  </si>
  <si>
    <t xml:space="preserve">固件与频谱验证记录</t>
  </si>
  <si>
    <t xml:space="preserve">步骤 7~9：基线判别、MQTT 上报、Node-RED 仪表板</t>
  </si>
  <si>
    <t xml:space="preserve">P3/P4</t>
  </si>
  <si>
    <t xml:space="preserve">可演示的端到端系统</t>
  </si>
  <si>
    <t xml:space="preserve">中期评估</t>
  </si>
  <si>
    <t xml:space="preserve">步骤 10：校准（重力翻转、温度、幅值比对）</t>
  </si>
  <si>
    <t xml:space="preserve">校准报告与不确定度</t>
  </si>
  <si>
    <t xml:space="preserve">技术评审</t>
  </si>
  <si>
    <t xml:space="preserve">步骤 11~12：台架搭建与三类工况对照实验</t>
  </si>
  <si>
    <t xml:space="preserve">P4/P2</t>
  </si>
  <si>
    <t xml:space="preserve">实验数据集</t>
  </si>
  <si>
    <t xml:space="preserve">证据检查点</t>
  </si>
  <si>
    <t xml:space="preserve">数据分析、SDG 与部署评估、UL–LICHPU 复制性</t>
  </si>
  <si>
    <t xml:space="preserve">P4/P1</t>
  </si>
  <si>
    <t xml:space="preserve">分析报告、复制性评估</t>
  </si>
  <si>
    <t xml:space="preserve">进度评审 2</t>
  </si>
  <si>
    <t xml:space="preserve">缺陷修复、设计冻结、连续 72 h 运行验证</t>
  </si>
  <si>
    <t xml:space="preserve">全员</t>
  </si>
  <si>
    <t xml:space="preserve">缺陷关闭清单、AC-08 记录</t>
  </si>
  <si>
    <t xml:space="preserve">设计冻结</t>
  </si>
  <si>
    <t xml:space="preserve">报告、海报、演示准备、仓库与文档收尾</t>
  </si>
  <si>
    <t xml:space="preserve">报告草稿、幻灯片、README</t>
  </si>
  <si>
    <t xml:space="preserve">草案就绪</t>
  </si>
  <si>
    <t xml:space="preserve">最终评估：原型演示 + 团队汇报 + 个人答辩</t>
  </si>
  <si>
    <t xml:space="preserve">原型、报告、个人工程日志</t>
  </si>
  <si>
    <t xml:space="preserve">最终关口</t>
  </si>
  <si>
    <t xml:space="preserve">周次与《实施方案》第四章的 13 个施工步骤对应；关口日期待模块负责人确认后填入。</t>
  </si>
  <si>
    <t xml:space="preserve">用例 ID</t>
  </si>
  <si>
    <t xml:space="preserve">关联需求</t>
  </si>
  <si>
    <t xml:space="preserve">测试层级</t>
  </si>
  <si>
    <t xml:space="preserve">测试日期</t>
  </si>
  <si>
    <t xml:space="preserve">执行人</t>
  </si>
  <si>
    <t xml:space="preserve">输入 / 条件</t>
  </si>
  <si>
    <t xml:space="preserve">期望结果</t>
  </si>
  <si>
    <t xml:space="preserve">实测结果</t>
  </si>
  <si>
    <t xml:space="preserve">判定(P/F)</t>
  </si>
  <si>
    <t xml:space="preserve">证据文件</t>
  </si>
  <si>
    <t xml:space="preserve">TC-001</t>
  </si>
  <si>
    <t xml:space="preserve">定时器自检，连续采集 1 s</t>
  </si>
  <si>
    <t xml:space="preserve">采样点数 1000 ± 5</t>
  </si>
  <si>
    <t xml:space="preserve">evidence/tc-001.txt</t>
  </si>
  <si>
    <t xml:space="preserve">TC-002</t>
  </si>
  <si>
    <t xml:space="preserve">音箱振膜 + 100 Hz 正弦激励</t>
  </si>
  <si>
    <t xml:space="preserve">谱峰位于 100 Hz ± 1 %</t>
  </si>
  <si>
    <t xml:space="preserve">TC-003</t>
  </si>
  <si>
    <t xml:space="preserve">三路数据同时接入</t>
  </si>
  <si>
    <t xml:space="preserve">振动与两路温度均入库且时间戳对齐 ≤ 1 s</t>
  </si>
  <si>
    <t xml:space="preserve">TC-004</t>
  </si>
  <si>
    <t xml:space="preserve">与离线 Python 计算比对速度有效值</t>
  </si>
  <si>
    <t xml:space="preserve">偏差 ≤ 5 %</t>
  </si>
  <si>
    <t xml:space="preserve">TC-005</t>
  </si>
  <si>
    <t xml:space="preserve">MQTT 发布一帧完整 JSON</t>
  </si>
  <si>
    <t xml:space="preserve">MQTTX 收到完整报文，字段齐全</t>
  </si>
  <si>
    <t xml:space="preserve">TC-006</t>
  </si>
  <si>
    <t xml:space="preserve">断开网络 5 min 后恢复</t>
  </si>
  <si>
    <t xml:space="preserve">自动重连并补传，无数据丢失</t>
  </si>
  <si>
    <t xml:space="preserve">TC-007</t>
  </si>
  <si>
    <t xml:space="preserve">叶轮加装 5 g 配重</t>
  </si>
  <si>
    <t xml:space="preserve">60 s 内状态升级为注意或报警</t>
  </si>
  <si>
    <t xml:space="preserve">TC-008</t>
  </si>
  <si>
    <t xml:space="preserve">连续运行 72 h</t>
  </si>
  <si>
    <t xml:space="preserve">无重启，丢数率 ≤ 1 %</t>
  </si>
  <si>
    <t xml:space="preserve">TC-009</t>
  </si>
  <si>
    <t xml:space="preserve">检查全部连接方式</t>
  </si>
  <si>
    <t xml:space="preserve">无任何焊接点，均为插拔或免焊端子</t>
  </si>
  <si>
    <t xml:space="preserve">TC-010</t>
  </si>
  <si>
    <t xml:space="preserve">按物料清单核算成本</t>
  </si>
  <si>
    <t xml:space="preserve">不含备件 ≤ ¥94，含备件 ≤ ¥119</t>
  </si>
  <si>
    <t xml:space="preserve">判定列用 P（通过）/ F（失败）。失败用例须在问题跟踪中开 Issue 并关联提交哈希。</t>
  </si>
  <si>
    <t xml:space="preserve">工况变化对照实验记录模板</t>
  </si>
  <si>
    <t xml:space="preserve">试验编号</t>
  </si>
  <si>
    <t xml:space="preserve">工况</t>
  </si>
  <si>
    <t xml:space="preserve">施加参数</t>
  </si>
  <si>
    <t xml:space="preserve">基频峰值 Hz</t>
  </si>
  <si>
    <t xml:space="preserve">环境温度 ℃</t>
  </si>
  <si>
    <t xml:space="preserve">振动 RMS g</t>
  </si>
  <si>
    <t xml:space="preserve">速度有效值 mm/s</t>
  </si>
  <si>
    <t xml:space="preserve">芯片温度 ℃</t>
  </si>
  <si>
    <t xml:space="preserve">表面温度 ℃</t>
  </si>
  <si>
    <t xml:space="preserve">系统判定</t>
  </si>
  <si>
    <t xml:space="preserve">备注 / 原始数据文件</t>
  </si>
  <si>
    <t xml:space="preserve">EXP-001</t>
  </si>
  <si>
    <t xml:space="preserve">正常基线</t>
  </si>
  <si>
    <t xml:space="preserve">EXP-002</t>
  </si>
  <si>
    <t xml:space="preserve">转子不平衡</t>
  </si>
  <si>
    <t xml:space="preserve">配重 2 g</t>
  </si>
  <si>
    <t xml:space="preserve">EXP-003</t>
  </si>
  <si>
    <t xml:space="preserve">配重 5 g</t>
  </si>
  <si>
    <t xml:space="preserve">EXP-004</t>
  </si>
  <si>
    <t xml:space="preserve">结构松动</t>
  </si>
  <si>
    <t xml:space="preserve">底座螺栓松 1/4 圈</t>
  </si>
  <si>
    <t xml:space="preserve">EXP-005</t>
  </si>
  <si>
    <t xml:space="preserve">负载变化</t>
  </si>
  <si>
    <t xml:space="preserve">风道遮挡 30 %</t>
  </si>
  <si>
    <t xml:space="preserve">EXP-006</t>
  </si>
  <si>
    <t xml:space="preserve">风道遮挡 60 %</t>
  </si>
  <si>
    <t xml:space="preserve">EXP-007</t>
  </si>
  <si>
    <t xml:space="preserve">转速变化</t>
  </si>
  <si>
    <t xml:space="preserve">USB 调压至 4 V</t>
  </si>
  <si>
    <t xml:space="preserve">每类工况按《实施方案》表 26 要求的次数重复；原始 1024 点数据单独存为文件并记录文件名。</t>
  </si>
  <si>
    <t xml:space="preserve">受控文档变更记录</t>
  </si>
  <si>
    <t xml:space="preserve">日期</t>
  </si>
  <si>
    <t xml:space="preserve">变更人</t>
  </si>
  <si>
    <t xml:space="preserve">变更类型</t>
  </si>
  <si>
    <t xml:space="preserve">变更说明与影响范围</t>
  </si>
  <si>
    <t xml:space="preserve">V1.0</t>
  </si>
  <si>
    <t xml:space="preserve">首次发布</t>
  </si>
  <si>
    <t xml:space="preserve">建立需求与验收、物料清单、风险登记册、责任矩阵、十二周计划与测试记录模板</t>
  </si>
  <si>
    <t xml:space="preserve">V1.1</t>
  </si>
  <si>
    <t xml:space="preserve">设计变更</t>
  </si>
  <si>
    <t xml:space="preserve">新增 ESP32 单板方案的物料清单与需求变更清单</t>
  </si>
  <si>
    <t xml:space="preserve">V2.0</t>
  </si>
  <si>
    <t xml:space="preserve">全面改为 ESP32 单板方案：11 项 FR / 8 项 NFR / 12 条 AC；物料 25 项含耗材（¥211）</t>
  </si>
  <si>
    <t xml:space="preserve">采购定稿（最终清单）</t>
  </si>
  <si>
    <t xml:space="preserve">物料清单更新为最终采购清单：ESP32 ¥23×2、MPU6050 ¥13.5、DS18B20 ¥8.5、SD 卡座 ¥2.3、联想 32G 卡 ¥35.9、蜂鸣器 ¥1.5、5V 9225 风扇 ¥4.8、数据线 ¥2.2、USB 转杜邦线 ¥4.8；杜邦线与面包板由学校提供。取消 12 V 升压线与 KF301 端子。实际支出 ¥119.50，结余 ¥30.50</t>
  </si>
  <si>
    <t xml:space="preserve">V3.1</t>
  </si>
  <si>
    <t xml:space="preserve">采购落实（台账保持更新）</t>
  </si>
  <si>
    <t xml:space="preserve">物料清单改为“预算价 / 实际价”双列并登记真实采购价与商家备注；确认面包板与母-公杜邦线为自有、外壳与配重自备；删除 KF301 端子（DS18B20 自带端子、风扇用升压线直插、电源分配用面包板）；成本口径由“¥94 估价”更新为“实际 ¥138.85、结余 ¥11.15”</t>
  </si>
  <si>
    <t xml:space="preserve">V3.0</t>
  </si>
  <si>
    <t xml:space="preserve">设计冻结（响应预算与工艺约束）</t>
  </si>
  <si>
    <t xml:space="preserve">按“预算 ≤ ¥150、减少焊接、提高集成度”的要求重构：① 振动传感器由 ADXL345（SPI，3.2 kSPS）改为 MPU6050（I²C，1 kSPS，含板载温度），采样率与帧长改为 1 kSPS / 1024 点；② 取消独立 LED 模块与按键，改用板载 LED 与 BOOT 键；③ 12 V 风机 + 适配器改为 5 V USB 风扇，电源复用现有 USB 充电器；④ 删除全部焊接耗材，新增 NFR-08 与 AC-13（免焊接装配）与 R-06（排针未焊）；⑤ 成本由 ¥211 降至 ¥94（含备件 ¥119）。影响范围：物料清单、需求与验收、风险登记册、测试与实验记录模板、两份主文档</t>
  </si>
  <si>
    <t xml:space="preserve">变更类型：首次发布 / 需求变更 / 设计变更 / 计划调整 / 勘误。需求变更须同步更新“1-需求与验收”与两份主文档。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</si>
</sst>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63"/>
      <name val="微软雅黑"/>
      <family val="0"/>
      <charset val="1"/>
    </font>
    <font>
      <sz val="9"/>
      <color rgb="FF808080"/>
      <name val="微软雅黑"/>
      <family val="0"/>
      <charset val="1"/>
    </font>
    <font>
      <b val="true"/>
      <sz val="9.5"/>
      <name val="微软雅黑"/>
      <family val="0"/>
      <charset val="1"/>
    </font>
    <font>
      <sz val="9.5"/>
      <name val="微软雅黑"/>
      <family val="0"/>
      <charset val="1"/>
    </font>
    <font>
      <b val="true"/>
      <sz val="11"/>
      <color rgb="FF1F3B63"/>
      <name val="微软雅黑"/>
      <family val="0"/>
      <charset val="1"/>
    </font>
    <font>
      <b val="true"/>
      <sz val="13"/>
      <color rgb="FF1F3B63"/>
      <name val="微软雅黑"/>
      <family val="0"/>
      <charset val="1"/>
    </font>
    <font>
      <b val="true"/>
      <sz val="10"/>
      <color rgb="FFFFFFFF"/>
      <name val="微软雅黑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1F4E79"/>
        <bgColor rgb="FF1F3B6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63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6"/>
  </cols>
  <sheetData>
    <row r="1" customFormat="false" ht="20.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7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27" hidden="false" customHeight="false" outlineLevel="0" collapsed="false">
      <c r="A14" s="3" t="s">
        <v>22</v>
      </c>
      <c r="B14" s="4" t="s">
        <v>23</v>
      </c>
    </row>
    <row r="17" customFormat="false" ht="15" hidden="false" customHeight="false" outlineLevel="0" collapsed="false">
      <c r="A17" s="5" t="s">
        <v>24</v>
      </c>
    </row>
    <row r="18" customFormat="false" ht="14.5" hidden="false" customHeight="false" outlineLevel="0" collapsed="false">
      <c r="A18" s="6" t="s">
        <v>25</v>
      </c>
      <c r="B18" s="7" t="s">
        <v>26</v>
      </c>
    </row>
    <row r="19" customFormat="false" ht="14.5" hidden="false" customHeight="false" outlineLevel="0" collapsed="false">
      <c r="A19" s="6" t="s">
        <v>27</v>
      </c>
      <c r="B19" s="7" t="s">
        <v>28</v>
      </c>
    </row>
    <row r="20" customFormat="false" ht="14.5" hidden="false" customHeight="false" outlineLevel="0" collapsed="false">
      <c r="A20" s="6" t="s">
        <v>29</v>
      </c>
      <c r="B20" s="7" t="s">
        <v>30</v>
      </c>
    </row>
    <row r="21" customFormat="false" ht="14.5" hidden="false" customHeight="false" outlineLevel="0" collapsed="false">
      <c r="A21" s="6" t="s">
        <v>31</v>
      </c>
      <c r="B21" s="7" t="s">
        <v>32</v>
      </c>
    </row>
    <row r="22" customFormat="false" ht="15" hidden="false" customHeight="false" outlineLevel="0" collapsed="false">
      <c r="A22" s="6" t="s">
        <v>33</v>
      </c>
      <c r="B22" s="7" t="s">
        <v>34</v>
      </c>
    </row>
    <row r="23" customFormat="false" ht="14.5" hidden="false" customHeight="false" outlineLevel="0" collapsed="false">
      <c r="A23" s="6" t="s">
        <v>35</v>
      </c>
      <c r="B23" s="7" t="s">
        <v>36</v>
      </c>
    </row>
    <row r="24" customFormat="false" ht="15" hidden="false" customHeight="false" outlineLevel="0" collapsed="false">
      <c r="A24" s="6" t="s">
        <v>37</v>
      </c>
      <c r="B24" s="7" t="s">
        <v>38</v>
      </c>
    </row>
    <row r="25" customFormat="false" ht="15" hidden="false" customHeight="false" outlineLevel="0" collapsed="false">
      <c r="A25" s="6" t="s">
        <v>39</v>
      </c>
      <c r="B25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9"/>
  </cols>
  <sheetData>
    <row r="1" customFormat="false" ht="16.15" hidden="false" customHeight="false" outlineLevel="0" collapsed="false">
      <c r="A1" s="8" t="s">
        <v>41</v>
      </c>
      <c r="B1" s="8"/>
      <c r="C1" s="8"/>
      <c r="D1" s="8"/>
      <c r="E1" s="8"/>
      <c r="F1" s="8"/>
      <c r="G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</row>
    <row r="3" customFormat="false" ht="15" hidden="false" customHeight="false" outlineLevel="0" collapsed="false">
      <c r="A3" s="10" t="s">
        <v>43</v>
      </c>
      <c r="B3" s="10" t="s">
        <v>44</v>
      </c>
      <c r="C3" s="10" t="s">
        <v>45</v>
      </c>
      <c r="D3" s="10" t="s">
        <v>46</v>
      </c>
      <c r="E3" s="10" t="s">
        <v>47</v>
      </c>
      <c r="F3" s="10" t="s">
        <v>48</v>
      </c>
      <c r="G3" s="10" t="s">
        <v>49</v>
      </c>
    </row>
    <row r="4" customFormat="false" ht="15" hidden="false" customHeight="false" outlineLevel="0" collapsed="false">
      <c r="A4" s="11" t="s">
        <v>50</v>
      </c>
      <c r="B4" s="11" t="s">
        <v>51</v>
      </c>
      <c r="C4" s="4" t="s">
        <v>52</v>
      </c>
      <c r="D4" s="11" t="s">
        <v>53</v>
      </c>
      <c r="E4" s="11" t="s">
        <v>54</v>
      </c>
      <c r="F4" s="4" t="s">
        <v>55</v>
      </c>
      <c r="G4" s="11" t="s">
        <v>56</v>
      </c>
    </row>
    <row r="5" customFormat="false" ht="15" hidden="false" customHeight="false" outlineLevel="0" collapsed="false">
      <c r="A5" s="11" t="s">
        <v>57</v>
      </c>
      <c r="B5" s="11" t="s">
        <v>51</v>
      </c>
      <c r="C5" s="4" t="s">
        <v>58</v>
      </c>
      <c r="D5" s="11" t="s">
        <v>53</v>
      </c>
      <c r="E5" s="11" t="s">
        <v>59</v>
      </c>
      <c r="F5" s="4" t="s">
        <v>60</v>
      </c>
      <c r="G5" s="11" t="s">
        <v>61</v>
      </c>
    </row>
    <row r="6" customFormat="false" ht="15" hidden="false" customHeight="false" outlineLevel="0" collapsed="false">
      <c r="A6" s="11" t="s">
        <v>62</v>
      </c>
      <c r="B6" s="11" t="s">
        <v>51</v>
      </c>
      <c r="C6" s="4" t="s">
        <v>63</v>
      </c>
      <c r="D6" s="11" t="s">
        <v>53</v>
      </c>
      <c r="E6" s="11" t="s">
        <v>64</v>
      </c>
      <c r="F6" s="4" t="s">
        <v>60</v>
      </c>
      <c r="G6" s="11" t="s">
        <v>61</v>
      </c>
    </row>
    <row r="7" customFormat="false" ht="15" hidden="false" customHeight="false" outlineLevel="0" collapsed="false">
      <c r="A7" s="11" t="s">
        <v>65</v>
      </c>
      <c r="B7" s="11" t="s">
        <v>51</v>
      </c>
      <c r="C7" s="4" t="s">
        <v>66</v>
      </c>
      <c r="D7" s="11" t="s">
        <v>53</v>
      </c>
      <c r="E7" s="11" t="s">
        <v>67</v>
      </c>
      <c r="F7" s="4" t="s">
        <v>68</v>
      </c>
      <c r="G7" s="11" t="s">
        <v>69</v>
      </c>
    </row>
    <row r="8" customFormat="false" ht="15" hidden="false" customHeight="false" outlineLevel="0" collapsed="false">
      <c r="A8" s="11" t="s">
        <v>70</v>
      </c>
      <c r="B8" s="11" t="s">
        <v>51</v>
      </c>
      <c r="C8" s="4" t="s">
        <v>71</v>
      </c>
      <c r="D8" s="11" t="s">
        <v>53</v>
      </c>
      <c r="E8" s="11" t="s">
        <v>67</v>
      </c>
      <c r="F8" s="4" t="s">
        <v>72</v>
      </c>
      <c r="G8" s="11" t="s">
        <v>73</v>
      </c>
    </row>
    <row r="9" customFormat="false" ht="15" hidden="false" customHeight="false" outlineLevel="0" collapsed="false">
      <c r="A9" s="11" t="s">
        <v>74</v>
      </c>
      <c r="B9" s="11" t="s">
        <v>51</v>
      </c>
      <c r="C9" s="4" t="s">
        <v>75</v>
      </c>
      <c r="D9" s="11" t="s">
        <v>53</v>
      </c>
      <c r="E9" s="11" t="s">
        <v>76</v>
      </c>
      <c r="F9" s="4" t="s">
        <v>77</v>
      </c>
      <c r="G9" s="11" t="s">
        <v>69</v>
      </c>
    </row>
    <row r="10" customFormat="false" ht="15" hidden="false" customHeight="false" outlineLevel="0" collapsed="false">
      <c r="A10" s="11" t="s">
        <v>78</v>
      </c>
      <c r="B10" s="11" t="s">
        <v>51</v>
      </c>
      <c r="C10" s="4" t="s">
        <v>79</v>
      </c>
      <c r="D10" s="11" t="s">
        <v>80</v>
      </c>
      <c r="E10" s="11" t="s">
        <v>81</v>
      </c>
      <c r="F10" s="4" t="s">
        <v>68</v>
      </c>
      <c r="G10" s="11" t="s">
        <v>82</v>
      </c>
    </row>
    <row r="11" customFormat="false" ht="15" hidden="false" customHeight="false" outlineLevel="0" collapsed="false">
      <c r="A11" s="11" t="s">
        <v>83</v>
      </c>
      <c r="B11" s="11" t="s">
        <v>51</v>
      </c>
      <c r="C11" s="4" t="s">
        <v>84</v>
      </c>
      <c r="D11" s="11" t="s">
        <v>53</v>
      </c>
      <c r="E11" s="11" t="s">
        <v>85</v>
      </c>
      <c r="F11" s="4" t="s">
        <v>86</v>
      </c>
      <c r="G11" s="11" t="s">
        <v>69</v>
      </c>
    </row>
    <row r="12" customFormat="false" ht="15" hidden="false" customHeight="false" outlineLevel="0" collapsed="false">
      <c r="A12" s="11" t="s">
        <v>87</v>
      </c>
      <c r="B12" s="11" t="s">
        <v>51</v>
      </c>
      <c r="C12" s="4" t="s">
        <v>88</v>
      </c>
      <c r="D12" s="11" t="s">
        <v>80</v>
      </c>
      <c r="E12" s="11" t="s">
        <v>81</v>
      </c>
      <c r="F12" s="4" t="s">
        <v>68</v>
      </c>
      <c r="G12" s="11" t="s">
        <v>82</v>
      </c>
    </row>
    <row r="13" customFormat="false" ht="15" hidden="false" customHeight="false" outlineLevel="0" collapsed="false">
      <c r="A13" s="11" t="s">
        <v>89</v>
      </c>
      <c r="B13" s="11" t="s">
        <v>51</v>
      </c>
      <c r="C13" s="4" t="s">
        <v>90</v>
      </c>
      <c r="D13" s="11" t="s">
        <v>80</v>
      </c>
      <c r="E13" s="11" t="s">
        <v>85</v>
      </c>
      <c r="F13" s="4" t="s">
        <v>68</v>
      </c>
      <c r="G13" s="11" t="s">
        <v>91</v>
      </c>
    </row>
    <row r="14" customFormat="false" ht="15" hidden="false" customHeight="false" outlineLevel="0" collapsed="false">
      <c r="A14" s="11" t="s">
        <v>92</v>
      </c>
      <c r="B14" s="11" t="s">
        <v>51</v>
      </c>
      <c r="C14" s="4" t="s">
        <v>93</v>
      </c>
      <c r="D14" s="11" t="s">
        <v>94</v>
      </c>
      <c r="E14" s="11" t="s">
        <v>95</v>
      </c>
      <c r="F14" s="4" t="s">
        <v>96</v>
      </c>
      <c r="G14" s="11" t="s">
        <v>82</v>
      </c>
    </row>
    <row r="15" customFormat="false" ht="15" hidden="false" customHeight="false" outlineLevel="0" collapsed="false">
      <c r="A15" s="11" t="s">
        <v>97</v>
      </c>
      <c r="B15" s="11" t="s">
        <v>98</v>
      </c>
      <c r="C15" s="4" t="s">
        <v>99</v>
      </c>
      <c r="D15" s="11" t="s">
        <v>53</v>
      </c>
      <c r="E15" s="11" t="s">
        <v>95</v>
      </c>
      <c r="F15" s="4" t="s">
        <v>100</v>
      </c>
      <c r="G15" s="11" t="s">
        <v>101</v>
      </c>
    </row>
    <row r="16" customFormat="false" ht="15" hidden="false" customHeight="false" outlineLevel="0" collapsed="false">
      <c r="A16" s="11" t="s">
        <v>102</v>
      </c>
      <c r="B16" s="11" t="s">
        <v>98</v>
      </c>
      <c r="C16" s="4" t="s">
        <v>103</v>
      </c>
      <c r="D16" s="11" t="s">
        <v>53</v>
      </c>
      <c r="E16" s="11" t="s">
        <v>95</v>
      </c>
      <c r="F16" s="4" t="s">
        <v>100</v>
      </c>
      <c r="G16" s="11" t="s">
        <v>101</v>
      </c>
    </row>
    <row r="17" customFormat="false" ht="15" hidden="false" customHeight="false" outlineLevel="0" collapsed="false">
      <c r="A17" s="11" t="s">
        <v>104</v>
      </c>
      <c r="B17" s="11" t="s">
        <v>98</v>
      </c>
      <c r="C17" s="4" t="s">
        <v>105</v>
      </c>
      <c r="D17" s="11" t="s">
        <v>53</v>
      </c>
      <c r="E17" s="11" t="s">
        <v>106</v>
      </c>
      <c r="F17" s="4" t="s">
        <v>68</v>
      </c>
      <c r="G17" s="11" t="s">
        <v>82</v>
      </c>
    </row>
    <row r="18" customFormat="false" ht="15" hidden="false" customHeight="false" outlineLevel="0" collapsed="false">
      <c r="A18" s="11" t="s">
        <v>107</v>
      </c>
      <c r="B18" s="11" t="s">
        <v>98</v>
      </c>
      <c r="C18" s="4" t="s">
        <v>108</v>
      </c>
      <c r="D18" s="11" t="s">
        <v>80</v>
      </c>
      <c r="E18" s="11" t="s">
        <v>95</v>
      </c>
      <c r="F18" s="4" t="s">
        <v>100</v>
      </c>
      <c r="G18" s="11" t="s">
        <v>82</v>
      </c>
    </row>
    <row r="19" customFormat="false" ht="15" hidden="false" customHeight="false" outlineLevel="0" collapsed="false">
      <c r="A19" s="11" t="s">
        <v>109</v>
      </c>
      <c r="B19" s="11" t="s">
        <v>98</v>
      </c>
      <c r="C19" s="4" t="s">
        <v>110</v>
      </c>
      <c r="D19" s="11" t="s">
        <v>53</v>
      </c>
      <c r="E19" s="11" t="s">
        <v>111</v>
      </c>
      <c r="F19" s="4" t="s">
        <v>112</v>
      </c>
      <c r="G19" s="11" t="s">
        <v>101</v>
      </c>
    </row>
    <row r="20" customFormat="false" ht="15" hidden="false" customHeight="false" outlineLevel="0" collapsed="false">
      <c r="A20" s="11" t="s">
        <v>113</v>
      </c>
      <c r="B20" s="11" t="s">
        <v>98</v>
      </c>
      <c r="C20" s="4" t="s">
        <v>114</v>
      </c>
      <c r="D20" s="11" t="s">
        <v>53</v>
      </c>
      <c r="E20" s="11" t="s">
        <v>95</v>
      </c>
      <c r="F20" s="4" t="s">
        <v>86</v>
      </c>
      <c r="G20" s="11" t="s">
        <v>69</v>
      </c>
    </row>
    <row r="21" customFormat="false" ht="15" hidden="false" customHeight="false" outlineLevel="0" collapsed="false">
      <c r="A21" s="11" t="s">
        <v>115</v>
      </c>
      <c r="B21" s="11" t="s">
        <v>98</v>
      </c>
      <c r="C21" s="4" t="s">
        <v>116</v>
      </c>
      <c r="D21" s="11" t="s">
        <v>80</v>
      </c>
      <c r="E21" s="11" t="s">
        <v>95</v>
      </c>
      <c r="F21" s="4" t="s">
        <v>100</v>
      </c>
      <c r="G21" s="11" t="s">
        <v>91</v>
      </c>
    </row>
    <row r="22" customFormat="false" ht="15" hidden="false" customHeight="false" outlineLevel="0" collapsed="false">
      <c r="A22" s="11" t="s">
        <v>117</v>
      </c>
      <c r="B22" s="11" t="s">
        <v>98</v>
      </c>
      <c r="C22" s="4" t="s">
        <v>118</v>
      </c>
      <c r="D22" s="11" t="s">
        <v>53</v>
      </c>
      <c r="E22" s="11" t="s">
        <v>119</v>
      </c>
      <c r="F22" s="4" t="s">
        <v>100</v>
      </c>
      <c r="G22" s="11" t="s">
        <v>101</v>
      </c>
    </row>
    <row r="23" customFormat="false" ht="15" hidden="false" customHeight="false" outlineLevel="0" collapsed="false">
      <c r="A23" s="11" t="s">
        <v>120</v>
      </c>
      <c r="B23" s="11" t="s">
        <v>98</v>
      </c>
      <c r="C23" s="4" t="s">
        <v>121</v>
      </c>
      <c r="D23" s="11" t="s">
        <v>80</v>
      </c>
      <c r="E23" s="11" t="s">
        <v>95</v>
      </c>
      <c r="F23" s="4" t="s">
        <v>100</v>
      </c>
      <c r="G23" s="11" t="s">
        <v>82</v>
      </c>
    </row>
    <row r="24" customFormat="false" ht="27" hidden="false" customHeight="false" outlineLevel="0" collapsed="false">
      <c r="A24" s="11" t="s">
        <v>122</v>
      </c>
      <c r="B24" s="11" t="s">
        <v>123</v>
      </c>
      <c r="C24" s="4" t="s">
        <v>124</v>
      </c>
      <c r="D24" s="11" t="s">
        <v>95</v>
      </c>
      <c r="E24" s="11" t="s">
        <v>50</v>
      </c>
      <c r="F24" s="4" t="s">
        <v>125</v>
      </c>
      <c r="G24" s="11" t="s">
        <v>56</v>
      </c>
    </row>
    <row r="25" customFormat="false" ht="15" hidden="false" customHeight="false" outlineLevel="0" collapsed="false">
      <c r="A25" s="11" t="s">
        <v>64</v>
      </c>
      <c r="B25" s="11" t="s">
        <v>123</v>
      </c>
      <c r="C25" s="4" t="s">
        <v>126</v>
      </c>
      <c r="D25" s="11" t="s">
        <v>95</v>
      </c>
      <c r="E25" s="11" t="s">
        <v>62</v>
      </c>
      <c r="F25" s="4" t="s">
        <v>127</v>
      </c>
      <c r="G25" s="11" t="s">
        <v>61</v>
      </c>
    </row>
    <row r="26" customFormat="false" ht="15" hidden="false" customHeight="false" outlineLevel="0" collapsed="false">
      <c r="A26" s="11" t="s">
        <v>59</v>
      </c>
      <c r="B26" s="11" t="s">
        <v>123</v>
      </c>
      <c r="C26" s="4" t="s">
        <v>128</v>
      </c>
      <c r="D26" s="11" t="s">
        <v>95</v>
      </c>
      <c r="E26" s="11" t="s">
        <v>57</v>
      </c>
      <c r="F26" s="4" t="s">
        <v>129</v>
      </c>
      <c r="G26" s="11" t="s">
        <v>130</v>
      </c>
    </row>
    <row r="27" customFormat="false" ht="15" hidden="false" customHeight="false" outlineLevel="0" collapsed="false">
      <c r="A27" s="11" t="s">
        <v>131</v>
      </c>
      <c r="B27" s="11" t="s">
        <v>123</v>
      </c>
      <c r="C27" s="4" t="s">
        <v>132</v>
      </c>
      <c r="D27" s="11" t="s">
        <v>95</v>
      </c>
      <c r="E27" s="11" t="s">
        <v>50</v>
      </c>
      <c r="F27" s="4" t="s">
        <v>133</v>
      </c>
      <c r="G27" s="11" t="s">
        <v>61</v>
      </c>
    </row>
    <row r="28" customFormat="false" ht="27" hidden="false" customHeight="false" outlineLevel="0" collapsed="false">
      <c r="A28" s="11" t="s">
        <v>134</v>
      </c>
      <c r="B28" s="11" t="s">
        <v>123</v>
      </c>
      <c r="C28" s="4" t="s">
        <v>135</v>
      </c>
      <c r="D28" s="11" t="s">
        <v>95</v>
      </c>
      <c r="E28" s="11" t="s">
        <v>70</v>
      </c>
      <c r="F28" s="4" t="s">
        <v>136</v>
      </c>
      <c r="G28" s="11" t="s">
        <v>73</v>
      </c>
    </row>
    <row r="29" customFormat="false" ht="15" hidden="false" customHeight="false" outlineLevel="0" collapsed="false">
      <c r="A29" s="11" t="s">
        <v>137</v>
      </c>
      <c r="B29" s="11" t="s">
        <v>123</v>
      </c>
      <c r="C29" s="4" t="s">
        <v>138</v>
      </c>
      <c r="D29" s="11" t="s">
        <v>95</v>
      </c>
      <c r="E29" s="11" t="s">
        <v>65</v>
      </c>
      <c r="F29" s="4" t="s">
        <v>139</v>
      </c>
      <c r="G29" s="11" t="s">
        <v>73</v>
      </c>
    </row>
    <row r="30" customFormat="false" ht="15" hidden="false" customHeight="false" outlineLevel="0" collapsed="false">
      <c r="A30" s="11" t="s">
        <v>76</v>
      </c>
      <c r="B30" s="11" t="s">
        <v>123</v>
      </c>
      <c r="C30" s="4" t="s">
        <v>140</v>
      </c>
      <c r="D30" s="11" t="s">
        <v>95</v>
      </c>
      <c r="E30" s="11" t="s">
        <v>74</v>
      </c>
      <c r="F30" s="4" t="s">
        <v>141</v>
      </c>
      <c r="G30" s="11" t="s">
        <v>73</v>
      </c>
    </row>
    <row r="31" customFormat="false" ht="15" hidden="false" customHeight="false" outlineLevel="0" collapsed="false">
      <c r="A31" s="11" t="s">
        <v>106</v>
      </c>
      <c r="B31" s="11" t="s">
        <v>123</v>
      </c>
      <c r="C31" s="4" t="s">
        <v>142</v>
      </c>
      <c r="D31" s="11" t="s">
        <v>95</v>
      </c>
      <c r="E31" s="11" t="s">
        <v>104</v>
      </c>
      <c r="F31" s="4" t="s">
        <v>143</v>
      </c>
      <c r="G31" s="11" t="s">
        <v>82</v>
      </c>
    </row>
    <row r="32" customFormat="false" ht="15" hidden="false" customHeight="false" outlineLevel="0" collapsed="false">
      <c r="A32" s="11" t="s">
        <v>81</v>
      </c>
      <c r="B32" s="11" t="s">
        <v>123</v>
      </c>
      <c r="C32" s="4" t="s">
        <v>144</v>
      </c>
      <c r="D32" s="11" t="s">
        <v>95</v>
      </c>
      <c r="E32" s="11" t="s">
        <v>145</v>
      </c>
      <c r="F32" s="4" t="s">
        <v>146</v>
      </c>
      <c r="G32" s="11" t="s">
        <v>82</v>
      </c>
    </row>
    <row r="33" customFormat="false" ht="15" hidden="false" customHeight="false" outlineLevel="0" collapsed="false">
      <c r="A33" s="11" t="s">
        <v>85</v>
      </c>
      <c r="B33" s="11" t="s">
        <v>123</v>
      </c>
      <c r="C33" s="4" t="s">
        <v>147</v>
      </c>
      <c r="D33" s="11" t="s">
        <v>95</v>
      </c>
      <c r="E33" s="11" t="s">
        <v>148</v>
      </c>
      <c r="F33" s="4" t="s">
        <v>149</v>
      </c>
      <c r="G33" s="11" t="s">
        <v>91</v>
      </c>
    </row>
    <row r="34" customFormat="false" ht="27" hidden="false" customHeight="false" outlineLevel="0" collapsed="false">
      <c r="A34" s="11" t="s">
        <v>111</v>
      </c>
      <c r="B34" s="11" t="s">
        <v>123</v>
      </c>
      <c r="C34" s="4" t="s">
        <v>150</v>
      </c>
      <c r="D34" s="11" t="s">
        <v>95</v>
      </c>
      <c r="E34" s="11" t="s">
        <v>109</v>
      </c>
      <c r="F34" s="4" t="s">
        <v>151</v>
      </c>
      <c r="G34" s="11" t="s">
        <v>101</v>
      </c>
    </row>
    <row r="35" customFormat="false" ht="15" hidden="false" customHeight="false" outlineLevel="0" collapsed="false">
      <c r="A35" s="11" t="s">
        <v>152</v>
      </c>
      <c r="B35" s="11" t="s">
        <v>123</v>
      </c>
      <c r="C35" s="4" t="s">
        <v>153</v>
      </c>
      <c r="D35" s="11" t="s">
        <v>95</v>
      </c>
      <c r="E35" s="11" t="s">
        <v>154</v>
      </c>
      <c r="F35" s="4" t="s">
        <v>155</v>
      </c>
      <c r="G35" s="11" t="s">
        <v>73</v>
      </c>
    </row>
    <row r="36" customFormat="false" ht="15" hidden="false" customHeight="false" outlineLevel="0" collapsed="false">
      <c r="A36" s="11" t="s">
        <v>119</v>
      </c>
      <c r="B36" s="11" t="s">
        <v>123</v>
      </c>
      <c r="C36" s="4" t="s">
        <v>156</v>
      </c>
      <c r="D36" s="11" t="s">
        <v>95</v>
      </c>
      <c r="E36" s="11" t="s">
        <v>117</v>
      </c>
      <c r="F36" s="4" t="s">
        <v>157</v>
      </c>
      <c r="G36" s="11" t="s">
        <v>101</v>
      </c>
    </row>
    <row r="38" customFormat="false" ht="15" hidden="false" customHeight="false" outlineLevel="0" collapsed="false">
      <c r="A38" s="2" t="s">
        <v>158</v>
      </c>
    </row>
  </sheetData>
  <autoFilter ref="A3:G36"/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D4:D36" type="list">
      <formula1>"M,S,C"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7" min="5" style="0" width="11"/>
    <col collapsed="false" customWidth="true" hidden="false" outlineLevel="0" max="8" min="8" style="0" width="30"/>
  </cols>
  <sheetData>
    <row r="1" customFormat="false" ht="19.5" hidden="false" customHeight="false" outlineLevel="0" collapsed="false">
      <c r="A1" s="8" t="s">
        <v>159</v>
      </c>
      <c r="B1" s="8"/>
      <c r="C1" s="8"/>
      <c r="D1" s="8"/>
      <c r="E1" s="8"/>
      <c r="F1" s="8"/>
      <c r="G1" s="8"/>
      <c r="H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</row>
    <row r="3" customFormat="false" ht="28" hidden="false" customHeight="false" outlineLevel="0" collapsed="false">
      <c r="A3" s="10" t="s">
        <v>160</v>
      </c>
      <c r="B3" s="10" t="s">
        <v>44</v>
      </c>
      <c r="C3" s="10" t="s">
        <v>161</v>
      </c>
      <c r="D3" s="10" t="s">
        <v>162</v>
      </c>
      <c r="E3" s="10" t="s">
        <v>163</v>
      </c>
      <c r="F3" s="10" t="s">
        <v>164</v>
      </c>
      <c r="G3" s="10" t="s">
        <v>165</v>
      </c>
      <c r="H3" s="10" t="s">
        <v>166</v>
      </c>
    </row>
    <row r="4" customFormat="false" ht="27" hidden="false" customHeight="false" outlineLevel="0" collapsed="false">
      <c r="A4" s="11" t="s">
        <v>167</v>
      </c>
      <c r="B4" s="11" t="s">
        <v>168</v>
      </c>
      <c r="C4" s="4" t="s">
        <v>169</v>
      </c>
      <c r="D4" s="11" t="n">
        <v>2</v>
      </c>
      <c r="E4" s="11" t="n">
        <v>25</v>
      </c>
      <c r="F4" s="11" t="n">
        <v>23</v>
      </c>
      <c r="G4" s="11" t="n">
        <f aca="false">D4*F4</f>
        <v>46</v>
      </c>
      <c r="H4" s="4" t="s">
        <v>170</v>
      </c>
    </row>
    <row r="5" customFormat="false" ht="15" hidden="false" customHeight="false" outlineLevel="0" collapsed="false">
      <c r="A5" s="11" t="s">
        <v>171</v>
      </c>
      <c r="B5" s="11" t="s">
        <v>168</v>
      </c>
      <c r="C5" s="4" t="s">
        <v>172</v>
      </c>
      <c r="D5" s="11" t="n">
        <v>1</v>
      </c>
      <c r="E5" s="11" t="n">
        <v>6</v>
      </c>
      <c r="F5" s="11" t="n">
        <v>13.5</v>
      </c>
      <c r="G5" s="11" t="n">
        <f aca="false">D5*F5</f>
        <v>13.5</v>
      </c>
      <c r="H5" s="4" t="s">
        <v>173</v>
      </c>
    </row>
    <row r="6" customFormat="false" ht="15" hidden="false" customHeight="false" outlineLevel="0" collapsed="false">
      <c r="A6" s="11" t="s">
        <v>174</v>
      </c>
      <c r="B6" s="11" t="s">
        <v>168</v>
      </c>
      <c r="C6" s="4" t="s">
        <v>175</v>
      </c>
      <c r="D6" s="11" t="n">
        <v>1</v>
      </c>
      <c r="E6" s="11" t="n">
        <v>8</v>
      </c>
      <c r="F6" s="11" t="n">
        <v>8.5</v>
      </c>
      <c r="G6" s="11" t="n">
        <f aca="false">D6*F6</f>
        <v>8.5</v>
      </c>
      <c r="H6" s="4" t="s">
        <v>176</v>
      </c>
    </row>
    <row r="7" customFormat="false" ht="15" hidden="false" customHeight="false" outlineLevel="0" collapsed="false">
      <c r="A7" s="11" t="s">
        <v>177</v>
      </c>
      <c r="B7" s="11" t="s">
        <v>168</v>
      </c>
      <c r="C7" s="4" t="s">
        <v>178</v>
      </c>
      <c r="D7" s="11" t="n">
        <v>1</v>
      </c>
      <c r="E7" s="11" t="n">
        <v>5</v>
      </c>
      <c r="F7" s="11" t="n">
        <v>2.3</v>
      </c>
      <c r="G7" s="11" t="n">
        <f aca="false">D7*F7</f>
        <v>2.3</v>
      </c>
      <c r="H7" s="4" t="s">
        <v>179</v>
      </c>
    </row>
    <row r="8" customFormat="false" ht="15" hidden="false" customHeight="false" outlineLevel="0" collapsed="false">
      <c r="A8" s="11" t="s">
        <v>180</v>
      </c>
      <c r="B8" s="11" t="s">
        <v>168</v>
      </c>
      <c r="C8" s="4" t="s">
        <v>181</v>
      </c>
      <c r="D8" s="11" t="n">
        <v>1</v>
      </c>
      <c r="E8" s="11" t="n">
        <v>15</v>
      </c>
      <c r="F8" s="11" t="n">
        <v>35.9</v>
      </c>
      <c r="G8" s="11" t="n">
        <f aca="false">D8*F8</f>
        <v>35.9</v>
      </c>
      <c r="H8" s="4" t="s">
        <v>182</v>
      </c>
    </row>
    <row r="9" customFormat="false" ht="27" hidden="false" customHeight="false" outlineLevel="0" collapsed="false">
      <c r="A9" s="11" t="s">
        <v>183</v>
      </c>
      <c r="B9" s="11" t="s">
        <v>168</v>
      </c>
      <c r="C9" s="4" t="s">
        <v>184</v>
      </c>
      <c r="D9" s="11" t="n">
        <v>1</v>
      </c>
      <c r="E9" s="11" t="n">
        <v>2</v>
      </c>
      <c r="F9" s="11" t="n">
        <v>1.5</v>
      </c>
      <c r="G9" s="11" t="n">
        <f aca="false">D9*F9</f>
        <v>1.5</v>
      </c>
      <c r="H9" s="4" t="s">
        <v>185</v>
      </c>
    </row>
    <row r="10" customFormat="false" ht="15" hidden="false" customHeight="false" outlineLevel="0" collapsed="false">
      <c r="A10" s="11" t="s">
        <v>186</v>
      </c>
      <c r="B10" s="11" t="s">
        <v>168</v>
      </c>
      <c r="C10" s="4" t="s">
        <v>187</v>
      </c>
      <c r="D10" s="11" t="n">
        <v>1</v>
      </c>
      <c r="E10" s="11" t="n">
        <v>12</v>
      </c>
      <c r="F10" s="11" t="n">
        <v>4.8</v>
      </c>
      <c r="G10" s="11" t="n">
        <f aca="false">D10*F10</f>
        <v>4.8</v>
      </c>
      <c r="H10" s="4" t="s">
        <v>188</v>
      </c>
    </row>
    <row r="11" customFormat="false" ht="15" hidden="false" customHeight="false" outlineLevel="0" collapsed="false">
      <c r="A11" s="11" t="s">
        <v>189</v>
      </c>
      <c r="B11" s="11" t="s">
        <v>190</v>
      </c>
      <c r="C11" s="4" t="s">
        <v>191</v>
      </c>
      <c r="D11" s="11" t="n">
        <v>1</v>
      </c>
      <c r="E11" s="11" t="n">
        <v>5</v>
      </c>
      <c r="F11" s="11" t="n">
        <v>2.2</v>
      </c>
      <c r="G11" s="11" t="n">
        <f aca="false">D11*F11</f>
        <v>2.2</v>
      </c>
      <c r="H11" s="4" t="s">
        <v>192</v>
      </c>
    </row>
    <row r="12" customFormat="false" ht="15" hidden="false" customHeight="false" outlineLevel="0" collapsed="false">
      <c r="A12" s="11" t="s">
        <v>193</v>
      </c>
      <c r="B12" s="11" t="s">
        <v>190</v>
      </c>
      <c r="C12" s="4" t="s">
        <v>194</v>
      </c>
      <c r="D12" s="11" t="n">
        <v>1</v>
      </c>
      <c r="E12" s="11" t="n">
        <v>5</v>
      </c>
      <c r="F12" s="11" t="n">
        <v>4.8</v>
      </c>
      <c r="G12" s="11" t="n">
        <f aca="false">D12*F12</f>
        <v>4.8</v>
      </c>
      <c r="H12" s="4"/>
    </row>
    <row r="13" customFormat="false" ht="15" hidden="false" customHeight="false" outlineLevel="0" collapsed="false">
      <c r="A13" s="11" t="s">
        <v>195</v>
      </c>
      <c r="B13" s="11" t="s">
        <v>190</v>
      </c>
      <c r="C13" s="4" t="s">
        <v>196</v>
      </c>
      <c r="D13" s="11" t="n">
        <v>1</v>
      </c>
      <c r="E13" s="11" t="n">
        <v>6</v>
      </c>
      <c r="F13" s="11" t="n">
        <v>0</v>
      </c>
      <c r="G13" s="11" t="n">
        <f aca="false">D13*F13</f>
        <v>0</v>
      </c>
      <c r="H13" s="4" t="s">
        <v>197</v>
      </c>
    </row>
    <row r="14" customFormat="false" ht="15" hidden="false" customHeight="false" outlineLevel="0" collapsed="false">
      <c r="A14" s="11" t="s">
        <v>198</v>
      </c>
      <c r="B14" s="11" t="s">
        <v>190</v>
      </c>
      <c r="C14" s="4" t="s">
        <v>199</v>
      </c>
      <c r="D14" s="11" t="n">
        <v>1</v>
      </c>
      <c r="E14" s="11" t="n">
        <v>5</v>
      </c>
      <c r="F14" s="11" t="n">
        <v>0</v>
      </c>
      <c r="G14" s="11" t="n">
        <f aca="false">D14*F14</f>
        <v>0</v>
      </c>
      <c r="H14" s="4" t="s">
        <v>200</v>
      </c>
    </row>
    <row r="15" customFormat="false" ht="15" hidden="false" customHeight="false" outlineLevel="0" collapsed="false">
      <c r="A15" s="11" t="s">
        <v>201</v>
      </c>
      <c r="B15" s="11" t="s">
        <v>202</v>
      </c>
      <c r="C15" s="4" t="s">
        <v>203</v>
      </c>
      <c r="D15" s="11" t="n">
        <v>1</v>
      </c>
      <c r="E15" s="11" t="n">
        <v>13</v>
      </c>
      <c r="F15" s="11" t="n">
        <v>0</v>
      </c>
      <c r="G15" s="11" t="n">
        <f aca="false">D15*F15</f>
        <v>0</v>
      </c>
      <c r="H15" s="4" t="s">
        <v>204</v>
      </c>
    </row>
    <row r="16" customFormat="false" ht="15" hidden="false" customHeight="false" outlineLevel="0" collapsed="false">
      <c r="A16" s="11" t="s">
        <v>205</v>
      </c>
      <c r="B16" s="11" t="s">
        <v>202</v>
      </c>
      <c r="C16" s="4" t="s">
        <v>206</v>
      </c>
      <c r="D16" s="11" t="n">
        <v>2</v>
      </c>
      <c r="E16" s="11" t="n">
        <v>0</v>
      </c>
      <c r="F16" s="11" t="n">
        <v>0</v>
      </c>
      <c r="G16" s="11" t="n">
        <f aca="false">D16*F16</f>
        <v>0</v>
      </c>
      <c r="H16" s="4" t="s">
        <v>207</v>
      </c>
    </row>
    <row r="17" customFormat="false" ht="15" hidden="false" customHeight="false" outlineLevel="0" collapsed="false">
      <c r="C17" s="12" t="s">
        <v>208</v>
      </c>
      <c r="F17" s="13" t="n">
        <f aca="false">SUM(G4:G16)</f>
        <v>119.5</v>
      </c>
    </row>
    <row r="18" customFormat="false" ht="15" hidden="false" customHeight="false" outlineLevel="0" collapsed="false">
      <c r="C18" s="12" t="s">
        <v>209</v>
      </c>
      <c r="F18" s="13" t="n">
        <v>150</v>
      </c>
    </row>
    <row r="19" customFormat="false" ht="15" hidden="false" customHeight="false" outlineLevel="0" collapsed="false">
      <c r="C19" s="12" t="s">
        <v>210</v>
      </c>
      <c r="F19" s="13" t="n">
        <f aca="false">F18-F17</f>
        <v>30.5</v>
      </c>
    </row>
    <row r="20" customFormat="false" ht="15" hidden="false" customHeight="false" outlineLevel="0" collapsed="false">
      <c r="C20" s="12" t="s">
        <v>211</v>
      </c>
      <c r="F20" s="13" t="n">
        <f aca="false">SUMPRODUCT(D4:D16,E4:E16)</f>
        <v>132</v>
      </c>
    </row>
    <row r="22" customFormat="false" ht="15" hidden="false" customHeight="false" outlineLevel="0" collapsed="false">
      <c r="C22" s="2" t="s">
        <v>212</v>
      </c>
    </row>
  </sheetData>
  <autoFilter ref="A3:H1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9"/>
  </cols>
  <sheetData>
    <row r="1" customFormat="false" ht="19.5" hidden="false" customHeight="false" outlineLevel="0" collapsed="false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8" hidden="false" customHeight="false" outlineLevel="0" collapsed="false">
      <c r="A3" s="10" t="s">
        <v>214</v>
      </c>
      <c r="B3" s="10" t="s">
        <v>215</v>
      </c>
      <c r="C3" s="10" t="s">
        <v>44</v>
      </c>
      <c r="D3" s="10" t="s">
        <v>216</v>
      </c>
      <c r="E3" s="10" t="s">
        <v>217</v>
      </c>
      <c r="F3" s="10" t="s">
        <v>218</v>
      </c>
      <c r="G3" s="10" t="s">
        <v>219</v>
      </c>
      <c r="H3" s="10" t="s">
        <v>220</v>
      </c>
      <c r="I3" s="10" t="s">
        <v>221</v>
      </c>
      <c r="J3" s="10" t="s">
        <v>222</v>
      </c>
    </row>
    <row r="4" customFormat="false" ht="27" hidden="false" customHeight="false" outlineLevel="0" collapsed="false">
      <c r="A4" s="11" t="s">
        <v>223</v>
      </c>
      <c r="B4" s="4" t="s">
        <v>224</v>
      </c>
      <c r="C4" s="11" t="s">
        <v>225</v>
      </c>
      <c r="D4" s="11" t="n">
        <v>2</v>
      </c>
      <c r="E4" s="11" t="n">
        <v>2</v>
      </c>
      <c r="F4" s="11" t="n">
        <f aca="false">D4*E4</f>
        <v>4</v>
      </c>
      <c r="G4" s="4" t="s">
        <v>226</v>
      </c>
      <c r="H4" s="11" t="s">
        <v>227</v>
      </c>
      <c r="I4" s="4" t="s">
        <v>228</v>
      </c>
      <c r="J4" s="11" t="s">
        <v>229</v>
      </c>
    </row>
    <row r="5" customFormat="false" ht="15" hidden="false" customHeight="false" outlineLevel="0" collapsed="false">
      <c r="A5" s="11" t="s">
        <v>230</v>
      </c>
      <c r="B5" s="4" t="s">
        <v>231</v>
      </c>
      <c r="C5" s="11" t="s">
        <v>232</v>
      </c>
      <c r="D5" s="11" t="n">
        <v>3</v>
      </c>
      <c r="E5" s="11" t="n">
        <v>2</v>
      </c>
      <c r="F5" s="11" t="n">
        <f aca="false">D5*E5</f>
        <v>6</v>
      </c>
      <c r="G5" s="4" t="s">
        <v>233</v>
      </c>
      <c r="H5" s="11" t="s">
        <v>234</v>
      </c>
      <c r="I5" s="4" t="s">
        <v>235</v>
      </c>
      <c r="J5" s="11" t="s">
        <v>229</v>
      </c>
    </row>
    <row r="6" customFormat="false" ht="15" hidden="false" customHeight="false" outlineLevel="0" collapsed="false">
      <c r="A6" s="11" t="s">
        <v>236</v>
      </c>
      <c r="B6" s="4" t="s">
        <v>237</v>
      </c>
      <c r="C6" s="11" t="s">
        <v>238</v>
      </c>
      <c r="D6" s="11" t="n">
        <v>2</v>
      </c>
      <c r="E6" s="11" t="n">
        <v>2</v>
      </c>
      <c r="F6" s="11" t="n">
        <f aca="false">D6*E6</f>
        <v>4</v>
      </c>
      <c r="G6" s="4" t="s">
        <v>239</v>
      </c>
      <c r="H6" s="11" t="s">
        <v>240</v>
      </c>
      <c r="I6" s="4" t="s">
        <v>241</v>
      </c>
      <c r="J6" s="11" t="s">
        <v>229</v>
      </c>
    </row>
    <row r="7" customFormat="false" ht="27" hidden="false" customHeight="false" outlineLevel="0" collapsed="false">
      <c r="A7" s="11" t="s">
        <v>242</v>
      </c>
      <c r="B7" s="4" t="s">
        <v>243</v>
      </c>
      <c r="C7" s="11" t="s">
        <v>225</v>
      </c>
      <c r="D7" s="11" t="n">
        <v>3</v>
      </c>
      <c r="E7" s="11" t="n">
        <v>3</v>
      </c>
      <c r="F7" s="11" t="n">
        <f aca="false">D7*E7</f>
        <v>9</v>
      </c>
      <c r="G7" s="4" t="s">
        <v>244</v>
      </c>
      <c r="H7" s="11" t="s">
        <v>240</v>
      </c>
      <c r="I7" s="4" t="s">
        <v>245</v>
      </c>
      <c r="J7" s="11" t="s">
        <v>229</v>
      </c>
    </row>
    <row r="8" customFormat="false" ht="15" hidden="false" customHeight="false" outlineLevel="0" collapsed="false">
      <c r="A8" s="11" t="s">
        <v>246</v>
      </c>
      <c r="B8" s="4" t="s">
        <v>247</v>
      </c>
      <c r="C8" s="11" t="s">
        <v>225</v>
      </c>
      <c r="D8" s="11" t="n">
        <v>2</v>
      </c>
      <c r="E8" s="11" t="n">
        <v>2</v>
      </c>
      <c r="F8" s="11" t="n">
        <f aca="false">D8*E8</f>
        <v>4</v>
      </c>
      <c r="G8" s="4" t="s">
        <v>248</v>
      </c>
      <c r="H8" s="11" t="s">
        <v>227</v>
      </c>
      <c r="I8" s="4" t="s">
        <v>249</v>
      </c>
      <c r="J8" s="11" t="s">
        <v>229</v>
      </c>
    </row>
    <row r="9" customFormat="false" ht="27" hidden="false" customHeight="false" outlineLevel="0" collapsed="false">
      <c r="A9" s="11" t="s">
        <v>250</v>
      </c>
      <c r="B9" s="4" t="s">
        <v>251</v>
      </c>
      <c r="C9" s="11" t="s">
        <v>252</v>
      </c>
      <c r="D9" s="11" t="n">
        <v>3</v>
      </c>
      <c r="E9" s="11" t="n">
        <v>2</v>
      </c>
      <c r="F9" s="11" t="n">
        <f aca="false">D9*E9</f>
        <v>6</v>
      </c>
      <c r="G9" s="4" t="s">
        <v>253</v>
      </c>
      <c r="H9" s="11" t="s">
        <v>227</v>
      </c>
      <c r="I9" s="4" t="s">
        <v>254</v>
      </c>
      <c r="J9" s="11" t="s">
        <v>229</v>
      </c>
    </row>
    <row r="10" customFormat="false" ht="27" hidden="false" customHeight="false" outlineLevel="0" collapsed="false">
      <c r="A10" s="11" t="s">
        <v>255</v>
      </c>
      <c r="B10" s="4" t="s">
        <v>256</v>
      </c>
      <c r="C10" s="11" t="s">
        <v>225</v>
      </c>
      <c r="D10" s="11" t="n">
        <v>3</v>
      </c>
      <c r="E10" s="11" t="n">
        <v>2</v>
      </c>
      <c r="F10" s="11" t="n">
        <f aca="false">D10*E10</f>
        <v>6</v>
      </c>
      <c r="G10" s="4" t="s">
        <v>257</v>
      </c>
      <c r="H10" s="11" t="s">
        <v>240</v>
      </c>
      <c r="I10" s="4" t="s">
        <v>258</v>
      </c>
      <c r="J10" s="11" t="s">
        <v>229</v>
      </c>
    </row>
    <row r="11" customFormat="false" ht="15" hidden="false" customHeight="false" outlineLevel="0" collapsed="false">
      <c r="A11" s="11" t="s">
        <v>259</v>
      </c>
      <c r="B11" s="4" t="s">
        <v>260</v>
      </c>
      <c r="C11" s="11" t="s">
        <v>225</v>
      </c>
      <c r="D11" s="11" t="n">
        <v>3</v>
      </c>
      <c r="E11" s="11" t="n">
        <v>2</v>
      </c>
      <c r="F11" s="11" t="n">
        <f aca="false">D11*E11</f>
        <v>6</v>
      </c>
      <c r="G11" s="4" t="s">
        <v>261</v>
      </c>
      <c r="H11" s="11" t="s">
        <v>240</v>
      </c>
      <c r="I11" s="4" t="s">
        <v>262</v>
      </c>
      <c r="J11" s="11" t="s">
        <v>229</v>
      </c>
    </row>
    <row r="12" customFormat="false" ht="15" hidden="false" customHeight="false" outlineLevel="0" collapsed="false">
      <c r="A12" s="11" t="s">
        <v>263</v>
      </c>
      <c r="B12" s="4" t="s">
        <v>264</v>
      </c>
      <c r="C12" s="11" t="s">
        <v>252</v>
      </c>
      <c r="D12" s="11" t="n">
        <v>2</v>
      </c>
      <c r="E12" s="11" t="n">
        <v>3</v>
      </c>
      <c r="F12" s="11" t="n">
        <f aca="false">D12*E12</f>
        <v>6</v>
      </c>
      <c r="G12" s="4" t="s">
        <v>265</v>
      </c>
      <c r="H12" s="11" t="s">
        <v>227</v>
      </c>
      <c r="I12" s="4" t="s">
        <v>266</v>
      </c>
      <c r="J12" s="11" t="s">
        <v>229</v>
      </c>
    </row>
    <row r="13" customFormat="false" ht="15" hidden="false" customHeight="false" outlineLevel="0" collapsed="false">
      <c r="A13" s="11" t="s">
        <v>267</v>
      </c>
      <c r="B13" s="4" t="s">
        <v>268</v>
      </c>
      <c r="C13" s="11" t="s">
        <v>269</v>
      </c>
      <c r="D13" s="11" t="n">
        <v>3</v>
      </c>
      <c r="E13" s="11" t="n">
        <v>2</v>
      </c>
      <c r="F13" s="11" t="n">
        <f aca="false">D13*E13</f>
        <v>6</v>
      </c>
      <c r="G13" s="4" t="s">
        <v>270</v>
      </c>
      <c r="H13" s="11" t="s">
        <v>271</v>
      </c>
      <c r="I13" s="4" t="s">
        <v>272</v>
      </c>
      <c r="J13" s="11" t="s">
        <v>229</v>
      </c>
    </row>
    <row r="14" customFormat="false" ht="15" hidden="false" customHeight="false" outlineLevel="0" collapsed="false">
      <c r="A14" s="11" t="s">
        <v>273</v>
      </c>
      <c r="B14" s="4" t="s">
        <v>274</v>
      </c>
      <c r="C14" s="11" t="s">
        <v>225</v>
      </c>
      <c r="D14" s="11" t="n">
        <v>2</v>
      </c>
      <c r="E14" s="11" t="n">
        <v>2</v>
      </c>
      <c r="F14" s="11" t="n">
        <f aca="false">D14*E14</f>
        <v>4</v>
      </c>
      <c r="G14" s="4" t="s">
        <v>275</v>
      </c>
      <c r="H14" s="11" t="s">
        <v>240</v>
      </c>
      <c r="I14" s="4" t="s">
        <v>276</v>
      </c>
      <c r="J14" s="11" t="s">
        <v>229</v>
      </c>
    </row>
    <row r="15" customFormat="false" ht="15" hidden="false" customHeight="false" outlineLevel="0" collapsed="false">
      <c r="A15" s="11" t="s">
        <v>277</v>
      </c>
      <c r="B15" s="4" t="s">
        <v>278</v>
      </c>
      <c r="C15" s="11" t="s">
        <v>238</v>
      </c>
      <c r="D15" s="11" t="n">
        <v>2</v>
      </c>
      <c r="E15" s="11" t="n">
        <v>2</v>
      </c>
      <c r="F15" s="11" t="n">
        <f aca="false">D15*E15</f>
        <v>4</v>
      </c>
      <c r="G15" s="4" t="s">
        <v>279</v>
      </c>
      <c r="H15" s="11" t="s">
        <v>240</v>
      </c>
      <c r="I15" s="4" t="s">
        <v>280</v>
      </c>
      <c r="J15" s="11" t="s">
        <v>229</v>
      </c>
    </row>
    <row r="16" customFormat="false" ht="15" hidden="false" customHeight="false" outlineLevel="0" collapsed="false">
      <c r="A16" s="11" t="s">
        <v>281</v>
      </c>
      <c r="B16" s="4" t="s">
        <v>282</v>
      </c>
      <c r="C16" s="11" t="s">
        <v>283</v>
      </c>
      <c r="D16" s="11" t="n">
        <v>2</v>
      </c>
      <c r="E16" s="11" t="n">
        <v>2</v>
      </c>
      <c r="F16" s="11" t="n">
        <f aca="false">D16*E16</f>
        <v>4</v>
      </c>
      <c r="G16" s="4" t="s">
        <v>284</v>
      </c>
      <c r="H16" s="11" t="s">
        <v>234</v>
      </c>
      <c r="I16" s="4" t="s">
        <v>285</v>
      </c>
      <c r="J16" s="11" t="s">
        <v>229</v>
      </c>
    </row>
    <row r="18" customFormat="false" ht="15" hidden="false" customHeight="false" outlineLevel="0" collapsed="false">
      <c r="A18" s="2" t="s">
        <v>286</v>
      </c>
    </row>
  </sheetData>
  <autoFilter ref="A3:J16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D4:E1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</cols>
  <sheetData>
    <row r="1" customFormat="false" ht="19.5" hidden="false" customHeight="false" outlineLevel="0" collapsed="false">
      <c r="A1" s="8" t="s">
        <v>287</v>
      </c>
      <c r="B1" s="8"/>
      <c r="C1" s="8"/>
      <c r="D1" s="8"/>
      <c r="E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</row>
    <row r="3" customFormat="false" ht="28" hidden="false" customHeight="false" outlineLevel="0" collapsed="false">
      <c r="A3" s="10" t="s">
        <v>288</v>
      </c>
      <c r="B3" s="10" t="s">
        <v>289</v>
      </c>
      <c r="C3" s="10" t="s">
        <v>290</v>
      </c>
      <c r="D3" s="10" t="s">
        <v>291</v>
      </c>
      <c r="E3" s="10" t="s">
        <v>292</v>
      </c>
    </row>
    <row r="4" customFormat="false" ht="15" hidden="false" customHeight="false" outlineLevel="0" collapsed="false">
      <c r="A4" s="4" t="s">
        <v>293</v>
      </c>
      <c r="B4" s="11" t="s">
        <v>294</v>
      </c>
      <c r="C4" s="11" t="s">
        <v>80</v>
      </c>
      <c r="D4" s="11" t="s">
        <v>80</v>
      </c>
      <c r="E4" s="11" t="s">
        <v>94</v>
      </c>
    </row>
    <row r="5" customFormat="false" ht="15" hidden="false" customHeight="false" outlineLevel="0" collapsed="false">
      <c r="A5" s="4" t="s">
        <v>295</v>
      </c>
      <c r="B5" s="11" t="s">
        <v>94</v>
      </c>
      <c r="C5" s="11" t="s">
        <v>294</v>
      </c>
      <c r="D5" s="11" t="s">
        <v>80</v>
      </c>
      <c r="E5" s="11" t="s">
        <v>80</v>
      </c>
    </row>
    <row r="6" customFormat="false" ht="15" hidden="false" customHeight="false" outlineLevel="0" collapsed="false">
      <c r="A6" s="4" t="s">
        <v>296</v>
      </c>
      <c r="B6" s="11" t="s">
        <v>297</v>
      </c>
      <c r="C6" s="11" t="s">
        <v>294</v>
      </c>
      <c r="D6" s="11" t="s">
        <v>80</v>
      </c>
      <c r="E6" s="11" t="s">
        <v>80</v>
      </c>
    </row>
    <row r="7" customFormat="false" ht="15" hidden="false" customHeight="false" outlineLevel="0" collapsed="false">
      <c r="A7" s="4" t="s">
        <v>298</v>
      </c>
      <c r="B7" s="11" t="s">
        <v>297</v>
      </c>
      <c r="C7" s="11" t="s">
        <v>80</v>
      </c>
      <c r="D7" s="11" t="s">
        <v>294</v>
      </c>
      <c r="E7" s="11" t="s">
        <v>94</v>
      </c>
    </row>
    <row r="8" customFormat="false" ht="15" hidden="false" customHeight="false" outlineLevel="0" collapsed="false">
      <c r="A8" s="4" t="s">
        <v>299</v>
      </c>
      <c r="B8" s="11" t="s">
        <v>297</v>
      </c>
      <c r="C8" s="11" t="s">
        <v>80</v>
      </c>
      <c r="D8" s="11" t="s">
        <v>294</v>
      </c>
      <c r="E8" s="11" t="s">
        <v>80</v>
      </c>
    </row>
    <row r="9" customFormat="false" ht="15" hidden="false" customHeight="false" outlineLevel="0" collapsed="false">
      <c r="A9" s="4" t="s">
        <v>300</v>
      </c>
      <c r="B9" s="11" t="s">
        <v>94</v>
      </c>
      <c r="C9" s="11" t="s">
        <v>80</v>
      </c>
      <c r="D9" s="11" t="s">
        <v>80</v>
      </c>
      <c r="E9" s="11" t="s">
        <v>294</v>
      </c>
    </row>
    <row r="10" customFormat="false" ht="15" hidden="false" customHeight="false" outlineLevel="0" collapsed="false">
      <c r="A10" s="4" t="s">
        <v>301</v>
      </c>
      <c r="B10" s="11" t="s">
        <v>80</v>
      </c>
      <c r="C10" s="11" t="s">
        <v>80</v>
      </c>
      <c r="D10" s="11" t="s">
        <v>94</v>
      </c>
      <c r="E10" s="11" t="s">
        <v>294</v>
      </c>
    </row>
    <row r="11" customFormat="false" ht="15" hidden="false" customHeight="false" outlineLevel="0" collapsed="false">
      <c r="A11" s="4" t="s">
        <v>302</v>
      </c>
      <c r="B11" s="11" t="s">
        <v>294</v>
      </c>
      <c r="C11" s="11" t="s">
        <v>80</v>
      </c>
      <c r="D11" s="11" t="s">
        <v>80</v>
      </c>
      <c r="E11" s="11" t="s">
        <v>94</v>
      </c>
    </row>
    <row r="12" customFormat="false" ht="15" hidden="false" customHeight="false" outlineLevel="0" collapsed="false">
      <c r="A12" s="4" t="s">
        <v>303</v>
      </c>
      <c r="B12" s="11" t="s">
        <v>94</v>
      </c>
      <c r="C12" s="11" t="s">
        <v>80</v>
      </c>
      <c r="D12" s="11" t="s">
        <v>80</v>
      </c>
      <c r="E12" s="11" t="s">
        <v>294</v>
      </c>
    </row>
    <row r="14" customFormat="false" ht="15" hidden="false" customHeight="false" outlineLevel="0" collapsed="false">
      <c r="A14" s="2" t="s">
        <v>304</v>
      </c>
    </row>
  </sheetData>
  <autoFilter ref="A3:E12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B4:E12" type="list">
      <formula1>"R,S,C,I"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8" t="s">
        <v>305</v>
      </c>
      <c r="B1" s="8"/>
      <c r="C1" s="8"/>
      <c r="D1" s="8"/>
      <c r="E1" s="8"/>
      <c r="F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</row>
    <row r="3" customFormat="false" ht="15" hidden="false" customHeight="false" outlineLevel="0" collapsed="false">
      <c r="A3" s="10" t="s">
        <v>160</v>
      </c>
      <c r="B3" s="10" t="s">
        <v>306</v>
      </c>
      <c r="C3" s="10" t="s">
        <v>307</v>
      </c>
      <c r="D3" s="10" t="s">
        <v>220</v>
      </c>
      <c r="E3" s="10" t="s">
        <v>288</v>
      </c>
      <c r="F3" s="10" t="s">
        <v>308</v>
      </c>
    </row>
    <row r="4" customFormat="false" ht="15" hidden="false" customHeight="false" outlineLevel="0" collapsed="false">
      <c r="A4" s="11" t="n">
        <v>1</v>
      </c>
      <c r="B4" s="4" t="s">
        <v>309</v>
      </c>
      <c r="C4" s="11" t="n">
        <v>1</v>
      </c>
      <c r="D4" s="11" t="s">
        <v>271</v>
      </c>
      <c r="E4" s="4" t="s">
        <v>310</v>
      </c>
      <c r="F4" s="11" t="s">
        <v>311</v>
      </c>
    </row>
    <row r="5" customFormat="false" ht="27" hidden="false" customHeight="false" outlineLevel="0" collapsed="false">
      <c r="A5" s="11" t="n">
        <v>2</v>
      </c>
      <c r="B5" s="4" t="s">
        <v>312</v>
      </c>
      <c r="C5" s="11" t="n">
        <v>2</v>
      </c>
      <c r="D5" s="11" t="s">
        <v>313</v>
      </c>
      <c r="E5" s="4" t="s">
        <v>314</v>
      </c>
      <c r="F5" s="11" t="s">
        <v>315</v>
      </c>
    </row>
    <row r="6" customFormat="false" ht="27" hidden="false" customHeight="false" outlineLevel="0" collapsed="false">
      <c r="A6" s="11" t="n">
        <v>3</v>
      </c>
      <c r="B6" s="4" t="s">
        <v>316</v>
      </c>
      <c r="C6" s="11" t="n">
        <v>3</v>
      </c>
      <c r="D6" s="11" t="s">
        <v>317</v>
      </c>
      <c r="E6" s="4" t="s">
        <v>318</v>
      </c>
      <c r="F6" s="11" t="s">
        <v>319</v>
      </c>
    </row>
    <row r="7" customFormat="false" ht="27" hidden="false" customHeight="false" outlineLevel="0" collapsed="false">
      <c r="A7" s="11" t="n">
        <v>4</v>
      </c>
      <c r="B7" s="4" t="s">
        <v>320</v>
      </c>
      <c r="C7" s="11" t="n">
        <v>4</v>
      </c>
      <c r="D7" s="11" t="s">
        <v>227</v>
      </c>
      <c r="E7" s="4" t="s">
        <v>321</v>
      </c>
      <c r="F7" s="11" t="s">
        <v>322</v>
      </c>
    </row>
    <row r="8" customFormat="false" ht="15" hidden="false" customHeight="false" outlineLevel="0" collapsed="false">
      <c r="A8" s="11" t="n">
        <v>5</v>
      </c>
      <c r="B8" s="4" t="s">
        <v>323</v>
      </c>
      <c r="C8" s="11" t="n">
        <v>5</v>
      </c>
      <c r="D8" s="11" t="s">
        <v>240</v>
      </c>
      <c r="E8" s="4" t="s">
        <v>324</v>
      </c>
      <c r="F8" s="11" t="s">
        <v>95</v>
      </c>
    </row>
    <row r="9" customFormat="false" ht="15" hidden="false" customHeight="false" outlineLevel="0" collapsed="false">
      <c r="A9" s="11" t="n">
        <v>6</v>
      </c>
      <c r="B9" s="4" t="s">
        <v>325</v>
      </c>
      <c r="C9" s="11" t="n">
        <v>6</v>
      </c>
      <c r="D9" s="11" t="s">
        <v>326</v>
      </c>
      <c r="E9" s="4" t="s">
        <v>327</v>
      </c>
      <c r="F9" s="11" t="s">
        <v>328</v>
      </c>
    </row>
    <row r="10" customFormat="false" ht="15" hidden="false" customHeight="false" outlineLevel="0" collapsed="false">
      <c r="A10" s="11" t="n">
        <v>7</v>
      </c>
      <c r="B10" s="4" t="s">
        <v>329</v>
      </c>
      <c r="C10" s="11" t="n">
        <v>7</v>
      </c>
      <c r="D10" s="11" t="s">
        <v>234</v>
      </c>
      <c r="E10" s="4" t="s">
        <v>330</v>
      </c>
      <c r="F10" s="11" t="s">
        <v>331</v>
      </c>
    </row>
    <row r="11" customFormat="false" ht="15" hidden="false" customHeight="false" outlineLevel="0" collapsed="false">
      <c r="A11" s="11" t="n">
        <v>8</v>
      </c>
      <c r="B11" s="4" t="s">
        <v>332</v>
      </c>
      <c r="C11" s="11" t="n">
        <v>8</v>
      </c>
      <c r="D11" s="11" t="s">
        <v>333</v>
      </c>
      <c r="E11" s="4" t="s">
        <v>334</v>
      </c>
      <c r="F11" s="11" t="s">
        <v>335</v>
      </c>
    </row>
    <row r="12" customFormat="false" ht="15" hidden="false" customHeight="false" outlineLevel="0" collapsed="false">
      <c r="A12" s="11" t="n">
        <v>9</v>
      </c>
      <c r="B12" s="4" t="s">
        <v>336</v>
      </c>
      <c r="C12" s="11" t="n">
        <v>9</v>
      </c>
      <c r="D12" s="11" t="s">
        <v>337</v>
      </c>
      <c r="E12" s="4" t="s">
        <v>338</v>
      </c>
      <c r="F12" s="11" t="s">
        <v>339</v>
      </c>
    </row>
    <row r="13" customFormat="false" ht="15" hidden="false" customHeight="false" outlineLevel="0" collapsed="false">
      <c r="A13" s="11" t="n">
        <v>10</v>
      </c>
      <c r="B13" s="4" t="s">
        <v>340</v>
      </c>
      <c r="C13" s="11" t="n">
        <v>10</v>
      </c>
      <c r="D13" s="11" t="s">
        <v>341</v>
      </c>
      <c r="E13" s="4" t="s">
        <v>342</v>
      </c>
      <c r="F13" s="11" t="s">
        <v>343</v>
      </c>
    </row>
    <row r="14" customFormat="false" ht="15" hidden="false" customHeight="false" outlineLevel="0" collapsed="false">
      <c r="A14" s="11" t="n">
        <v>11</v>
      </c>
      <c r="B14" s="4" t="s">
        <v>344</v>
      </c>
      <c r="C14" s="11" t="n">
        <v>11</v>
      </c>
      <c r="D14" s="11" t="s">
        <v>341</v>
      </c>
      <c r="E14" s="4" t="s">
        <v>345</v>
      </c>
      <c r="F14" s="11" t="s">
        <v>346</v>
      </c>
    </row>
    <row r="15" customFormat="false" ht="15" hidden="false" customHeight="false" outlineLevel="0" collapsed="false">
      <c r="A15" s="11" t="n">
        <v>12</v>
      </c>
      <c r="B15" s="4" t="s">
        <v>347</v>
      </c>
      <c r="C15" s="11" t="n">
        <v>12</v>
      </c>
      <c r="D15" s="11" t="s">
        <v>341</v>
      </c>
      <c r="E15" s="4" t="s">
        <v>348</v>
      </c>
      <c r="F15" s="11" t="s">
        <v>349</v>
      </c>
    </row>
    <row r="17" customFormat="false" ht="15" hidden="false" customHeight="false" outlineLevel="0" collapsed="false">
      <c r="A17" s="2" t="s">
        <v>350</v>
      </c>
    </row>
  </sheetData>
  <autoFilter ref="A3:F1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8" min="6" style="0" width="28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9.5" hidden="false" customHeight="false" outlineLevel="0" collapsed="false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8" hidden="false" customHeight="false" outlineLevel="0" collapsed="false">
      <c r="A3" s="10" t="s">
        <v>351</v>
      </c>
      <c r="B3" s="10" t="s">
        <v>352</v>
      </c>
      <c r="C3" s="10" t="s">
        <v>353</v>
      </c>
      <c r="D3" s="10" t="s">
        <v>354</v>
      </c>
      <c r="E3" s="10" t="s">
        <v>355</v>
      </c>
      <c r="F3" s="10" t="s">
        <v>356</v>
      </c>
      <c r="G3" s="10" t="s">
        <v>357</v>
      </c>
      <c r="H3" s="10" t="s">
        <v>358</v>
      </c>
      <c r="I3" s="10" t="s">
        <v>359</v>
      </c>
      <c r="J3" s="10" t="s">
        <v>360</v>
      </c>
    </row>
    <row r="4" customFormat="false" ht="15" hidden="false" customHeight="false" outlineLevel="0" collapsed="false">
      <c r="A4" s="11" t="s">
        <v>361</v>
      </c>
      <c r="B4" s="11" t="s">
        <v>50</v>
      </c>
      <c r="C4" s="11" t="s">
        <v>60</v>
      </c>
      <c r="D4" s="11"/>
      <c r="E4" s="11" t="s">
        <v>240</v>
      </c>
      <c r="F4" s="4" t="s">
        <v>362</v>
      </c>
      <c r="G4" s="4" t="s">
        <v>363</v>
      </c>
      <c r="H4" s="4"/>
      <c r="I4" s="11"/>
      <c r="J4" s="4" t="s">
        <v>364</v>
      </c>
    </row>
    <row r="5" customFormat="false" ht="15" hidden="false" customHeight="false" outlineLevel="0" collapsed="false">
      <c r="A5" s="11" t="s">
        <v>365</v>
      </c>
      <c r="B5" s="11" t="s">
        <v>62</v>
      </c>
      <c r="C5" s="11" t="s">
        <v>60</v>
      </c>
      <c r="D5" s="11"/>
      <c r="E5" s="11" t="s">
        <v>240</v>
      </c>
      <c r="F5" s="4" t="s">
        <v>366</v>
      </c>
      <c r="G5" s="4" t="s">
        <v>367</v>
      </c>
      <c r="H5" s="4"/>
      <c r="I5" s="11"/>
      <c r="J5" s="4"/>
    </row>
    <row r="6" customFormat="false" ht="27" hidden="false" customHeight="false" outlineLevel="0" collapsed="false">
      <c r="A6" s="11" t="s">
        <v>368</v>
      </c>
      <c r="B6" s="11" t="s">
        <v>50</v>
      </c>
      <c r="C6" s="11" t="s">
        <v>77</v>
      </c>
      <c r="D6" s="11"/>
      <c r="E6" s="11" t="s">
        <v>227</v>
      </c>
      <c r="F6" s="4" t="s">
        <v>369</v>
      </c>
      <c r="G6" s="4" t="s">
        <v>370</v>
      </c>
      <c r="H6" s="4"/>
      <c r="I6" s="11"/>
      <c r="J6" s="4"/>
    </row>
    <row r="7" customFormat="false" ht="15" hidden="false" customHeight="false" outlineLevel="0" collapsed="false">
      <c r="A7" s="11" t="s">
        <v>371</v>
      </c>
      <c r="B7" s="11" t="s">
        <v>57</v>
      </c>
      <c r="C7" s="11" t="s">
        <v>60</v>
      </c>
      <c r="D7" s="11"/>
      <c r="E7" s="11" t="s">
        <v>240</v>
      </c>
      <c r="F7" s="4" t="s">
        <v>372</v>
      </c>
      <c r="G7" s="4" t="s">
        <v>373</v>
      </c>
      <c r="H7" s="4"/>
      <c r="I7" s="11"/>
      <c r="J7" s="4"/>
    </row>
    <row r="8" customFormat="false" ht="15" hidden="false" customHeight="false" outlineLevel="0" collapsed="false">
      <c r="A8" s="11" t="s">
        <v>374</v>
      </c>
      <c r="B8" s="11" t="s">
        <v>74</v>
      </c>
      <c r="C8" s="11" t="s">
        <v>77</v>
      </c>
      <c r="D8" s="11"/>
      <c r="E8" s="11" t="s">
        <v>240</v>
      </c>
      <c r="F8" s="4" t="s">
        <v>375</v>
      </c>
      <c r="G8" s="4" t="s">
        <v>376</v>
      </c>
      <c r="H8" s="4"/>
      <c r="I8" s="11"/>
      <c r="J8" s="4"/>
    </row>
    <row r="9" customFormat="false" ht="15" hidden="false" customHeight="false" outlineLevel="0" collapsed="false">
      <c r="A9" s="11" t="s">
        <v>377</v>
      </c>
      <c r="B9" s="11" t="s">
        <v>78</v>
      </c>
      <c r="C9" s="11" t="s">
        <v>68</v>
      </c>
      <c r="D9" s="11"/>
      <c r="E9" s="11" t="s">
        <v>240</v>
      </c>
      <c r="F9" s="4" t="s">
        <v>378</v>
      </c>
      <c r="G9" s="4" t="s">
        <v>379</v>
      </c>
      <c r="H9" s="4"/>
      <c r="I9" s="11"/>
      <c r="J9" s="4"/>
    </row>
    <row r="10" customFormat="false" ht="15" hidden="false" customHeight="false" outlineLevel="0" collapsed="false">
      <c r="A10" s="11" t="s">
        <v>380</v>
      </c>
      <c r="B10" s="11" t="s">
        <v>70</v>
      </c>
      <c r="C10" s="11" t="s">
        <v>68</v>
      </c>
      <c r="D10" s="11"/>
      <c r="E10" s="11" t="s">
        <v>234</v>
      </c>
      <c r="F10" s="4" t="s">
        <v>381</v>
      </c>
      <c r="G10" s="4" t="s">
        <v>382</v>
      </c>
      <c r="H10" s="4"/>
      <c r="I10" s="11"/>
      <c r="J10" s="4"/>
    </row>
    <row r="11" customFormat="false" ht="15" hidden="false" customHeight="false" outlineLevel="0" collapsed="false">
      <c r="A11" s="11" t="s">
        <v>383</v>
      </c>
      <c r="B11" s="11" t="s">
        <v>104</v>
      </c>
      <c r="C11" s="11" t="s">
        <v>68</v>
      </c>
      <c r="D11" s="11"/>
      <c r="E11" s="11" t="s">
        <v>234</v>
      </c>
      <c r="F11" s="4" t="s">
        <v>384</v>
      </c>
      <c r="G11" s="4" t="s">
        <v>385</v>
      </c>
      <c r="H11" s="4"/>
      <c r="I11" s="11"/>
      <c r="J11" s="4"/>
    </row>
    <row r="12" customFormat="false" ht="27" hidden="false" customHeight="false" outlineLevel="0" collapsed="false">
      <c r="A12" s="11" t="s">
        <v>386</v>
      </c>
      <c r="B12" s="11" t="s">
        <v>117</v>
      </c>
      <c r="C12" s="11" t="s">
        <v>100</v>
      </c>
      <c r="D12" s="11"/>
      <c r="E12" s="11" t="s">
        <v>227</v>
      </c>
      <c r="F12" s="4" t="s">
        <v>387</v>
      </c>
      <c r="G12" s="4" t="s">
        <v>388</v>
      </c>
      <c r="H12" s="4"/>
      <c r="I12" s="11"/>
      <c r="J12" s="4"/>
    </row>
    <row r="13" customFormat="false" ht="15" hidden="false" customHeight="false" outlineLevel="0" collapsed="false">
      <c r="A13" s="11" t="s">
        <v>389</v>
      </c>
      <c r="B13" s="11" t="s">
        <v>111</v>
      </c>
      <c r="C13" s="11" t="s">
        <v>112</v>
      </c>
      <c r="D13" s="11"/>
      <c r="E13" s="11" t="s">
        <v>271</v>
      </c>
      <c r="F13" s="4" t="s">
        <v>390</v>
      </c>
      <c r="G13" s="4" t="s">
        <v>391</v>
      </c>
      <c r="H13" s="4"/>
      <c r="I13" s="11"/>
      <c r="J13" s="4"/>
    </row>
    <row r="15" customFormat="false" ht="15" hidden="false" customHeight="false" outlineLevel="0" collapsed="false">
      <c r="A15" s="2" t="s">
        <v>392</v>
      </c>
    </row>
  </sheetData>
  <autoFilter ref="A3:J13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I4:I200" type="list">
      <formula1>"P,F"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10" min="6" style="0" width="12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8" t="s">
        <v>393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28" hidden="false" customHeight="false" outlineLevel="0" collapsed="false">
      <c r="A3" s="10" t="s">
        <v>394</v>
      </c>
      <c r="B3" s="10" t="s">
        <v>395</v>
      </c>
      <c r="C3" s="10" t="s">
        <v>396</v>
      </c>
      <c r="D3" s="10" t="s">
        <v>397</v>
      </c>
      <c r="E3" s="10" t="s">
        <v>398</v>
      </c>
      <c r="F3" s="10" t="s">
        <v>399</v>
      </c>
      <c r="G3" s="10" t="s">
        <v>400</v>
      </c>
      <c r="H3" s="10" t="s">
        <v>401</v>
      </c>
      <c r="I3" s="10" t="s">
        <v>402</v>
      </c>
      <c r="J3" s="10" t="s">
        <v>403</v>
      </c>
      <c r="K3" s="10" t="s">
        <v>404</v>
      </c>
    </row>
    <row r="4" customFormat="false" ht="15" hidden="false" customHeight="false" outlineLevel="0" collapsed="false">
      <c r="A4" s="11" t="s">
        <v>405</v>
      </c>
      <c r="B4" s="11" t="s">
        <v>406</v>
      </c>
      <c r="C4" s="11" t="s">
        <v>95</v>
      </c>
      <c r="D4" s="11"/>
      <c r="E4" s="11"/>
      <c r="F4" s="11"/>
      <c r="G4" s="11"/>
      <c r="H4" s="11"/>
      <c r="I4" s="11"/>
      <c r="J4" s="11"/>
      <c r="K4" s="4"/>
    </row>
    <row r="5" customFormat="false" ht="15" hidden="false" customHeight="false" outlineLevel="0" collapsed="false">
      <c r="A5" s="11" t="s">
        <v>407</v>
      </c>
      <c r="B5" s="11" t="s">
        <v>408</v>
      </c>
      <c r="C5" s="11" t="s">
        <v>409</v>
      </c>
      <c r="D5" s="11"/>
      <c r="E5" s="11"/>
      <c r="F5" s="11"/>
      <c r="G5" s="11"/>
      <c r="H5" s="11"/>
      <c r="I5" s="11"/>
      <c r="J5" s="11"/>
      <c r="K5" s="4"/>
    </row>
    <row r="6" customFormat="false" ht="15" hidden="false" customHeight="false" outlineLevel="0" collapsed="false">
      <c r="A6" s="11" t="s">
        <v>410</v>
      </c>
      <c r="B6" s="11" t="s">
        <v>408</v>
      </c>
      <c r="C6" s="11" t="s">
        <v>411</v>
      </c>
      <c r="D6" s="11"/>
      <c r="E6" s="11"/>
      <c r="F6" s="11"/>
      <c r="G6" s="11"/>
      <c r="H6" s="11"/>
      <c r="I6" s="11"/>
      <c r="J6" s="11"/>
      <c r="K6" s="4"/>
    </row>
    <row r="7" customFormat="false" ht="15" hidden="false" customHeight="false" outlineLevel="0" collapsed="false">
      <c r="A7" s="11" t="s">
        <v>412</v>
      </c>
      <c r="B7" s="11" t="s">
        <v>413</v>
      </c>
      <c r="C7" s="11" t="s">
        <v>414</v>
      </c>
      <c r="D7" s="11"/>
      <c r="E7" s="11"/>
      <c r="F7" s="11"/>
      <c r="G7" s="11"/>
      <c r="H7" s="11"/>
      <c r="I7" s="11"/>
      <c r="J7" s="11"/>
      <c r="K7" s="4"/>
    </row>
    <row r="8" customFormat="false" ht="15" hidden="false" customHeight="false" outlineLevel="0" collapsed="false">
      <c r="A8" s="11" t="s">
        <v>415</v>
      </c>
      <c r="B8" s="11" t="s">
        <v>416</v>
      </c>
      <c r="C8" s="11" t="s">
        <v>417</v>
      </c>
      <c r="D8" s="11"/>
      <c r="E8" s="11"/>
      <c r="F8" s="11"/>
      <c r="G8" s="11"/>
      <c r="H8" s="11"/>
      <c r="I8" s="11"/>
      <c r="J8" s="11"/>
      <c r="K8" s="4"/>
    </row>
    <row r="9" customFormat="false" ht="15" hidden="false" customHeight="false" outlineLevel="0" collapsed="false">
      <c r="A9" s="11" t="s">
        <v>418</v>
      </c>
      <c r="B9" s="11" t="s">
        <v>416</v>
      </c>
      <c r="C9" s="11" t="s">
        <v>419</v>
      </c>
      <c r="D9" s="11"/>
      <c r="E9" s="11"/>
      <c r="F9" s="11"/>
      <c r="G9" s="11"/>
      <c r="H9" s="11"/>
      <c r="I9" s="11"/>
      <c r="J9" s="11"/>
      <c r="K9" s="4"/>
    </row>
    <row r="10" customFormat="false" ht="15" hidden="false" customHeight="false" outlineLevel="0" collapsed="false">
      <c r="A10" s="11" t="s">
        <v>420</v>
      </c>
      <c r="B10" s="11" t="s">
        <v>421</v>
      </c>
      <c r="C10" s="11" t="s">
        <v>422</v>
      </c>
      <c r="D10" s="11"/>
      <c r="E10" s="11"/>
      <c r="F10" s="11"/>
      <c r="G10" s="11"/>
      <c r="H10" s="11"/>
      <c r="I10" s="11"/>
      <c r="J10" s="11"/>
      <c r="K10" s="4"/>
    </row>
    <row r="12" customFormat="false" ht="15" hidden="false" customHeight="false" outlineLevel="0" collapsed="false">
      <c r="A12" s="2" t="s">
        <v>423</v>
      </c>
    </row>
  </sheetData>
  <autoFilter ref="A3:K10"/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J4:J200" type="list">
      <formula1>"正常,注意,报警,瞬态"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64"/>
  </cols>
  <sheetData>
    <row r="1" customFormat="false" ht="16.15" hidden="false" customHeight="false" outlineLevel="0" collapsed="false">
      <c r="A1" s="8" t="s">
        <v>424</v>
      </c>
      <c r="B1" s="8"/>
      <c r="C1" s="8"/>
      <c r="D1" s="8"/>
      <c r="E1" s="8"/>
    </row>
    <row r="2" customFormat="false" ht="14" hidden="false" customHeight="false" outlineLevel="0" collapsed="false">
      <c r="A2" s="9" t="s">
        <v>42</v>
      </c>
      <c r="B2" s="9"/>
      <c r="C2" s="9"/>
      <c r="D2" s="9"/>
      <c r="E2" s="9"/>
    </row>
    <row r="3" customFormat="false" ht="15" hidden="false" customHeight="false" outlineLevel="0" collapsed="false">
      <c r="A3" s="10" t="s">
        <v>4</v>
      </c>
      <c r="B3" s="10" t="s">
        <v>425</v>
      </c>
      <c r="C3" s="10" t="s">
        <v>426</v>
      </c>
      <c r="D3" s="10" t="s">
        <v>427</v>
      </c>
      <c r="E3" s="10" t="s">
        <v>428</v>
      </c>
    </row>
    <row r="4" customFormat="false" ht="15" hidden="false" customHeight="false" outlineLevel="0" collapsed="false">
      <c r="A4" s="11" t="s">
        <v>429</v>
      </c>
      <c r="B4" s="11" t="s">
        <v>7</v>
      </c>
      <c r="C4" s="11" t="s">
        <v>271</v>
      </c>
      <c r="D4" s="11" t="s">
        <v>430</v>
      </c>
      <c r="E4" s="4" t="s">
        <v>431</v>
      </c>
    </row>
    <row r="5" customFormat="false" ht="15" hidden="false" customHeight="false" outlineLevel="0" collapsed="false">
      <c r="A5" s="11" t="s">
        <v>432</v>
      </c>
      <c r="B5" s="11" t="s">
        <v>7</v>
      </c>
      <c r="C5" s="11" t="s">
        <v>271</v>
      </c>
      <c r="D5" s="11" t="s">
        <v>433</v>
      </c>
      <c r="E5" s="4" t="s">
        <v>434</v>
      </c>
    </row>
    <row r="6" customFormat="false" ht="27" hidden="false" customHeight="false" outlineLevel="0" collapsed="false">
      <c r="A6" s="11" t="s">
        <v>435</v>
      </c>
      <c r="B6" s="11" t="s">
        <v>7</v>
      </c>
      <c r="C6" s="11" t="s">
        <v>271</v>
      </c>
      <c r="D6" s="11" t="s">
        <v>433</v>
      </c>
      <c r="E6" s="4" t="s">
        <v>436</v>
      </c>
    </row>
    <row r="7" customFormat="false" ht="52" hidden="false" customHeight="false" outlineLevel="0" collapsed="false">
      <c r="A7" s="11" t="s">
        <v>5</v>
      </c>
      <c r="B7" s="11" t="s">
        <v>7</v>
      </c>
      <c r="C7" s="11" t="s">
        <v>271</v>
      </c>
      <c r="D7" s="11" t="s">
        <v>437</v>
      </c>
      <c r="E7" s="4" t="s">
        <v>438</v>
      </c>
    </row>
    <row r="8" customFormat="false" ht="52" hidden="false" customHeight="false" outlineLevel="0" collapsed="false">
      <c r="A8" s="11" t="s">
        <v>439</v>
      </c>
      <c r="B8" s="11" t="s">
        <v>7</v>
      </c>
      <c r="C8" s="11" t="s">
        <v>271</v>
      </c>
      <c r="D8" s="11" t="s">
        <v>440</v>
      </c>
      <c r="E8" s="4" t="s">
        <v>441</v>
      </c>
    </row>
    <row r="9" customFormat="false" ht="89.5" hidden="false" customHeight="false" outlineLevel="0" collapsed="false">
      <c r="A9" s="11" t="s">
        <v>442</v>
      </c>
      <c r="B9" s="11" t="s">
        <v>7</v>
      </c>
      <c r="C9" s="11" t="s">
        <v>271</v>
      </c>
      <c r="D9" s="11" t="s">
        <v>443</v>
      </c>
      <c r="E9" s="4" t="s">
        <v>444</v>
      </c>
    </row>
    <row r="11" customFormat="false" ht="15" hidden="false" customHeight="false" outlineLevel="0" collapsed="false">
      <c r="A11" s="2" t="s">
        <v>445</v>
      </c>
    </row>
  </sheetData>
  <autoFilter ref="A3:E9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2026-10-16T03:39:23Z</dcterms:created>
  <dc:creator>openpyxl</dc:creator>
  <dc:description/>
  <dc:language>en-US</dc:language>
  <cp:lastModifiedBy/>
  <dcterms:modified xsi:type="dcterms:W3CDTF">2026-10-16T03:39:23Z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