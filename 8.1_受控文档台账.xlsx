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-文档控制" sheetId="1" state="visible" r:id="rId1"/>
    <sheet xmlns:r="http://schemas.openxmlformats.org/officeDocument/2006/relationships" name="1-需求与验收" sheetId="2" state="visible" r:id="rId2"/>
    <sheet xmlns:r="http://schemas.openxmlformats.org/officeDocument/2006/relationships" name="2-物料与耗材清单" sheetId="3" state="visible" r:id="rId3"/>
    <sheet xmlns:r="http://schemas.openxmlformats.org/officeDocument/2006/relationships" name="3-风险登记册" sheetId="4" state="visible" r:id="rId4"/>
    <sheet xmlns:r="http://schemas.openxmlformats.org/officeDocument/2006/relationships" name="4-责任矩阵" sheetId="5" state="visible" r:id="rId5"/>
    <sheet xmlns:r="http://schemas.openxmlformats.org/officeDocument/2006/relationships" name="5-十二周计划" sheetId="6" state="visible" r:id="rId6"/>
    <sheet xmlns:r="http://schemas.openxmlformats.org/officeDocument/2006/relationships" name="6-测试记录" sheetId="7" state="visible" r:id="rId7"/>
    <sheet xmlns:r="http://schemas.openxmlformats.org/officeDocument/2006/relationships" name="7-工况实验记录" sheetId="8" state="visible" r:id="rId8"/>
    <sheet xmlns:r="http://schemas.openxmlformats.org/officeDocument/2006/relationships" name="8-变更记录" sheetId="9" state="visible" r:id="rId9"/>
  </sheets>
  <definedNames>
    <definedName name="_xlnm._FilterDatabase" localSheetId="1" hidden="1">'1-需求与验收'!$A$3:$G$36</definedName>
    <definedName name="_xlnm._FilterDatabase" localSheetId="2" hidden="1">'2-物料与耗材清单'!$A$3:$H$16</definedName>
    <definedName name="_xlnm._FilterDatabase" localSheetId="3" hidden="1">'3-风险登记册'!$A$3:$J$16</definedName>
    <definedName name="_xlnm._FilterDatabase" localSheetId="4" hidden="1">'4-责任矩阵'!$A$3:$E$12</definedName>
    <definedName name="_xlnm._FilterDatabase" localSheetId="5" hidden="1">'5-十二周计划'!$A$3:$F$15</definedName>
    <definedName name="_xlnm._FilterDatabase" localSheetId="6" hidden="1">'6-测试记录'!$A$3:$J$18</definedName>
    <definedName name="_xlnm._FilterDatabase" localSheetId="7" hidden="1">'7-工况实验记录'!$A$3:$J$10</definedName>
    <definedName name="_xlnm._FilterDatabase" localSheetId="8" hidden="1">'8-变更记录'!$A$3:$E$9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微软雅黑"/>
      <b val="1"/>
      <color rgb="001F3B63"/>
      <sz val="14"/>
    </font>
    <font>
      <name val="微软雅黑"/>
      <color rgb="00808080"/>
      <sz val="9"/>
    </font>
    <font>
      <name val="微软雅黑"/>
      <b val="1"/>
      <sz val="9.5"/>
    </font>
    <font>
      <name val="微软雅黑"/>
      <sz val="9.5"/>
    </font>
    <font>
      <name val="微软雅黑"/>
      <b val="1"/>
      <color rgb="001F3B63"/>
      <sz val="11"/>
    </font>
    <font>
      <name val="微软雅黑"/>
      <b val="1"/>
      <color rgb="001F3B63"/>
      <sz val="13"/>
    </font>
    <font>
      <name val="微软雅黑"/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00DEEBF7"/>
      </patternFill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7C3D0"/>
      </left>
      <right style="thin">
        <color rgb="00B7C3D0"/>
      </right>
      <top style="thin">
        <color rgb="00B7C3D0"/>
      </top>
      <bottom style="thin">
        <color rgb="00B7C3D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0" borderId="1" applyAlignment="1" pivotButton="0" quotePrefix="0" xfId="0">
      <alignment vertical="top" wrapText="1"/>
    </xf>
    <xf numFmtId="0" fontId="5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0" fontId="7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18" customWidth="1" min="1" max="1"/>
    <col width="96" customWidth="1" min="2" max="2"/>
  </cols>
  <sheetData>
    <row r="1">
      <c r="A1" s="1" t="inlineStr">
        <is>
          <t>项目 8.1 振动状态监测器 · 受控文档台账</t>
        </is>
      </c>
    </row>
    <row r="2">
      <c r="A2" s="2" t="inlineStr">
        <is>
          <t>利莫瑞克大学 × LICHPU　工业评估（15 ECTS）· 智慧校园生活实验室 · 主题 8 智能设施与预测性维护</t>
        </is>
      </c>
    </row>
    <row r="4">
      <c r="A4" s="3" t="inlineStr">
        <is>
          <t>文件名</t>
        </is>
      </c>
      <c r="B4" s="4" t="inlineStr">
        <is>
          <t>8.1_受控文档台账.xlsx</t>
        </is>
      </c>
    </row>
    <row r="5">
      <c r="A5" s="3" t="inlineStr">
        <is>
          <t>版本</t>
        </is>
      </c>
      <c r="B5" s="4" t="inlineStr">
        <is>
          <t>V3.2</t>
        </is>
      </c>
    </row>
    <row r="6">
      <c r="A6" s="3" t="inlineStr">
        <is>
          <t>更新日期</t>
        </is>
      </c>
      <c r="B6" s="4" t="inlineStr">
        <is>
          <t>2026-10-29</t>
        </is>
      </c>
    </row>
    <row r="7">
      <c r="A7" s="3" t="inlineStr">
        <is>
          <t>技术路线</t>
        </is>
      </c>
      <c r="B7" s="4" t="inlineStr">
        <is>
          <t>ESP32-WROOM-32 单板 + MPU6050（I²C，加速度 + 板载温度）+ DS18B20 表面温度 + Node-RED 仪表板</t>
        </is>
      </c>
    </row>
    <row r="8">
      <c r="A8" s="3" t="inlineStr">
        <is>
          <t>装配方式</t>
        </is>
      </c>
      <c r="B8" s="4" t="inlineStr">
        <is>
          <t>模块均为带排针的成品板，杜邦线直插；裸线经螺丝端子转接，无需额外加工</t>
        </is>
      </c>
    </row>
    <row r="9">
      <c r="A9" s="3" t="inlineStr">
        <is>
          <t>对应关口</t>
        </is>
      </c>
      <c r="B9" s="4" t="inlineStr">
        <is>
          <t>第 2 周 需求关口 / 第 3 周 设计关口 / 第 6 周 中期评估</t>
        </is>
      </c>
    </row>
    <row r="10">
      <c r="A10" s="3" t="inlineStr">
        <is>
          <t>关联主文档</t>
        </is>
      </c>
      <c r="B10" s="4" t="inlineStr">
        <is>
          <t>8.1_振动状态监测器_项目提案与需求规格说明.docx（提案与需求，评估组成 A）
8.1_振动状态监测器_实施方案.docx（施工、调试与验证手册）</t>
        </is>
      </c>
    </row>
    <row r="11">
      <c r="A11" s="3" t="inlineStr">
        <is>
          <t>维护责任人</t>
        </is>
      </c>
      <c r="B11" s="4" t="inlineStr">
        <is>
          <t>P1 项目/客户协调员（风险登记册与计划）；P4 测试/验证（测试记录）</t>
        </is>
      </c>
    </row>
    <row r="12">
      <c r="A12" s="3" t="inlineStr">
        <is>
          <t>变更规则</t>
        </is>
      </c>
      <c r="B12" s="4" t="inlineStr">
        <is>
          <t>任一工作表的字段增删须在“8-变更记录”中登记，并由 P1 更新版本号</t>
        </is>
      </c>
    </row>
    <row r="13">
      <c r="A13" s="3" t="inlineStr">
        <is>
          <t>评审节奏</t>
        </is>
      </c>
      <c r="B13" s="4" t="inlineStr">
        <is>
          <t>每周例会复核一次；关口前 2 天冻结并导出 PDF 归档</t>
        </is>
      </c>
    </row>
    <row r="14">
      <c r="A14" s="3" t="inlineStr">
        <is>
          <t>成本口径</t>
        </is>
      </c>
      <c r="B14" s="4" t="inlineStr">
        <is>
          <t>物料清单按「参考价 / 实际采购价」双列登记，实际采购支出合计 ¥119.50，详见「2-物料与耗材清单」</t>
        </is>
      </c>
    </row>
    <row r="17">
      <c r="A17" s="5" t="inlineStr">
        <is>
          <t>工作表一览</t>
        </is>
      </c>
    </row>
    <row r="18">
      <c r="A18" s="6" t="inlineStr">
        <is>
          <t>1-需求与验收</t>
        </is>
      </c>
      <c r="B18" s="7" t="inlineStr">
        <is>
          <t>11 项功能性需求、9 项非功能性需求、13 条验收标准及追溯关系</t>
        </is>
      </c>
    </row>
    <row r="19">
      <c r="A19" s="6" t="inlineStr">
        <is>
          <t>2-物料与耗材清单</t>
        </is>
      </c>
      <c r="B19" s="7" t="inlineStr">
        <is>
          <t>13 项物料，含分类小计与实际支出合计（公式自动计算）</t>
        </is>
      </c>
    </row>
    <row r="20">
      <c r="A20" s="6" t="inlineStr">
        <is>
          <t>3-风险登记册</t>
        </is>
      </c>
      <c r="B20" s="7" t="inlineStr">
        <is>
          <t>12 项风险，等级由概率 × 影响自动计算</t>
        </is>
      </c>
    </row>
    <row r="21">
      <c r="A21" s="6" t="inlineStr">
        <is>
          <t>4-责任矩阵</t>
        </is>
      </c>
      <c r="B21" s="7" t="inlineStr">
        <is>
          <t>9 项交付物 × 4 个角色的 R/S/C/I 分工</t>
        </is>
      </c>
    </row>
    <row r="22">
      <c r="A22" s="6" t="inlineStr">
        <is>
          <t>5-十二周计划</t>
        </is>
      </c>
      <c r="B22" s="7" t="inlineStr">
        <is>
          <t>任务、周次、责任人、交付物与正式关口</t>
        </is>
      </c>
    </row>
    <row r="23">
      <c r="A23" s="6" t="inlineStr">
        <is>
          <t>6-测试记录</t>
        </is>
      </c>
      <c r="B23" s="7" t="inlineStr">
        <is>
          <t>测试执行记录模板（对应评估组成 D）</t>
        </is>
      </c>
    </row>
    <row r="24">
      <c r="A24" s="6" t="inlineStr">
        <is>
          <t>7-工况实验记录</t>
        </is>
      </c>
      <c r="B24" s="7" t="inlineStr">
        <is>
          <t>工况变化对照实验的数据记录模板</t>
        </is>
      </c>
    </row>
    <row r="25">
      <c r="A25" s="6" t="inlineStr">
        <is>
          <t>8-变更记录</t>
        </is>
      </c>
      <c r="B25" s="7" t="inlineStr">
        <is>
          <t>受控文档的版本变更登记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9" customWidth="1" min="2" max="2"/>
    <col width="58" customWidth="1" min="3" max="3"/>
    <col width="8" customWidth="1" min="4" max="4"/>
    <col width="15" customWidth="1" min="5" max="5"/>
    <col width="24" customWidth="1" min="6" max="6"/>
    <col width="9" customWidth="1" min="7" max="7"/>
  </cols>
  <sheetData>
    <row r="1">
      <c r="A1" s="8" t="inlineStr">
        <is>
          <t>需求与验收标准（含追溯关系）</t>
        </is>
      </c>
    </row>
    <row r="2">
      <c r="A2" s="2" t="inlineStr">
        <is>
          <t>项目 8.1 振动状态监测器 · 受控文档台账　|　版本 V3.2　|　更新日期 2026-10-29　|　维护人：P1</t>
        </is>
      </c>
    </row>
    <row r="3">
      <c r="A3" s="9" t="inlineStr">
        <is>
          <t>编号</t>
        </is>
      </c>
      <c r="B3" s="9" t="inlineStr">
        <is>
          <t>类别</t>
        </is>
      </c>
      <c r="C3" s="9" t="inlineStr">
        <is>
          <t>需求 / 判据描述</t>
        </is>
      </c>
      <c r="D3" s="9" t="inlineStr">
        <is>
          <t>优先级</t>
        </is>
      </c>
      <c r="E3" s="9" t="inlineStr">
        <is>
          <t>追溯对象</t>
        </is>
      </c>
      <c r="F3" s="9" t="inlineStr">
        <is>
          <t>验证方法</t>
        </is>
      </c>
      <c r="G3" s="9" t="inlineStr">
        <is>
          <t>证据周次</t>
        </is>
      </c>
    </row>
    <row r="4">
      <c r="A4" s="10" t="inlineStr">
        <is>
          <t>FR-01</t>
        </is>
      </c>
      <c r="B4" s="10" t="inlineStr">
        <is>
          <t>功能</t>
        </is>
      </c>
      <c r="C4" s="4" t="inlineStr">
        <is>
          <t>采集振动（I²C，1 kSPS，帧长 1024 点）与两路温度，共三路数据</t>
        </is>
      </c>
      <c r="D4" s="10" t="inlineStr">
        <is>
          <t>M</t>
        </is>
      </c>
      <c r="E4" s="10" t="inlineStr">
        <is>
          <t>AC-01 / AC-04</t>
        </is>
      </c>
      <c r="F4" s="4" t="inlineStr">
        <is>
          <t>单元 + 集成</t>
        </is>
      </c>
      <c r="G4" s="10" t="inlineStr">
        <is>
          <t>第 4 周</t>
        </is>
      </c>
    </row>
    <row r="5">
      <c r="A5" s="10" t="inlineStr">
        <is>
          <t>FR-02</t>
        </is>
      </c>
      <c r="B5" s="10" t="inlineStr">
        <is>
          <t>功能</t>
        </is>
      </c>
      <c r="C5" s="4" t="inlineStr">
        <is>
          <t>计算时域特征：RMS、峰值、速度有效值（10 ~ 250 Hz 积分）</t>
        </is>
      </c>
      <c r="D5" s="10" t="inlineStr">
        <is>
          <t>M</t>
        </is>
      </c>
      <c r="E5" s="10" t="inlineStr">
        <is>
          <t>AC-03</t>
        </is>
      </c>
      <c r="F5" s="4" t="inlineStr">
        <is>
          <t>单元</t>
        </is>
      </c>
      <c r="G5" s="10" t="inlineStr">
        <is>
          <t>第 5 周</t>
        </is>
      </c>
    </row>
    <row r="6">
      <c r="A6" s="10" t="inlineStr">
        <is>
          <t>FR-03</t>
        </is>
      </c>
      <c r="B6" s="10" t="inlineStr">
        <is>
          <t>功能</t>
        </is>
      </c>
      <c r="C6" s="4" t="inlineStr">
        <is>
          <t>完成 1024 点 FFT，给出主频与基频带（15 ~ 35 Hz）内峰值</t>
        </is>
      </c>
      <c r="D6" s="10" t="inlineStr">
        <is>
          <t>M</t>
        </is>
      </c>
      <c r="E6" s="10" t="inlineStr">
        <is>
          <t>AC-02</t>
        </is>
      </c>
      <c r="F6" s="4" t="inlineStr">
        <is>
          <t>单元</t>
        </is>
      </c>
      <c r="G6" s="10" t="inlineStr">
        <is>
          <t>第 5 周</t>
        </is>
      </c>
    </row>
    <row r="7">
      <c r="A7" s="10" t="inlineStr">
        <is>
          <t>FR-04</t>
        </is>
      </c>
      <c r="B7" s="10" t="inlineStr">
        <is>
          <t>功能</t>
        </is>
      </c>
      <c r="C7" s="4" t="inlineStr">
        <is>
          <t>支持开机基线自学习，并给出相对基线的偏离度</t>
        </is>
      </c>
      <c r="D7" s="10" t="inlineStr">
        <is>
          <t>M</t>
        </is>
      </c>
      <c r="E7" s="10" t="inlineStr">
        <is>
          <t>AC-05 / AC-06</t>
        </is>
      </c>
      <c r="F7" s="4" t="inlineStr">
        <is>
          <t>系统</t>
        </is>
      </c>
      <c r="G7" s="10" t="inlineStr">
        <is>
          <t>第 6 周</t>
        </is>
      </c>
    </row>
    <row r="8">
      <c r="A8" s="10" t="inlineStr">
        <is>
          <t>FR-05</t>
        </is>
      </c>
      <c r="B8" s="10" t="inlineStr">
        <is>
          <t>功能</t>
        </is>
      </c>
      <c r="C8" s="4" t="inlineStr">
        <is>
          <t>输出“正常 / 注意 / 报警”三级状态与维护建议</t>
        </is>
      </c>
      <c r="D8" s="10" t="inlineStr">
        <is>
          <t>M</t>
        </is>
      </c>
      <c r="E8" s="10" t="inlineStr">
        <is>
          <t>AC-05 / AC-06</t>
        </is>
      </c>
      <c r="F8" s="4" t="inlineStr">
        <is>
          <t>系统 + 验证实验</t>
        </is>
      </c>
      <c r="G8" s="10" t="inlineStr">
        <is>
          <t>第 8 周</t>
        </is>
      </c>
    </row>
    <row r="9">
      <c r="A9" s="10" t="inlineStr">
        <is>
          <t>FR-06</t>
        </is>
      </c>
      <c r="B9" s="10" t="inlineStr">
        <is>
          <t>功能</t>
        </is>
      </c>
      <c r="C9" s="4" t="inlineStr">
        <is>
          <t>通过 MQTT 上报特征值，周期 ≤ 10 s，事件即时上报</t>
        </is>
      </c>
      <c r="D9" s="10" t="inlineStr">
        <is>
          <t>M</t>
        </is>
      </c>
      <c r="E9" s="10" t="inlineStr">
        <is>
          <t>AC-07</t>
        </is>
      </c>
      <c r="F9" s="4" t="inlineStr">
        <is>
          <t>集成</t>
        </is>
      </c>
      <c r="G9" s="10" t="inlineStr">
        <is>
          <t>第 6 周</t>
        </is>
      </c>
    </row>
    <row r="10">
      <c r="A10" s="10" t="inlineStr">
        <is>
          <t>FR-07</t>
        </is>
      </c>
      <c r="B10" s="10" t="inlineStr">
        <is>
          <t>功能</t>
        </is>
      </c>
      <c r="C10" s="4" t="inlineStr">
        <is>
          <t>断网时本地缓存，网络恢复后补传，不丢数据</t>
        </is>
      </c>
      <c r="D10" s="10" t="inlineStr">
        <is>
          <t>S</t>
        </is>
      </c>
      <c r="E10" s="10" t="inlineStr">
        <is>
          <t>AC-09</t>
        </is>
      </c>
      <c r="F10" s="4" t="inlineStr">
        <is>
          <t>系统</t>
        </is>
      </c>
      <c r="G10" s="10" t="inlineStr">
        <is>
          <t>第 10 周</t>
        </is>
      </c>
    </row>
    <row r="11">
      <c r="A11" s="10" t="inlineStr">
        <is>
          <t>FR-08</t>
        </is>
      </c>
      <c r="B11" s="10" t="inlineStr">
        <is>
          <t>功能</t>
        </is>
      </c>
      <c r="C11" s="4" t="inlineStr">
        <is>
          <t>提供中英双语仪表板，含实时值、历史趋势与频谱</t>
        </is>
      </c>
      <c r="D11" s="10" t="inlineStr">
        <is>
          <t>M</t>
        </is>
      </c>
      <c r="E11" s="10" t="inlineStr">
        <is>
          <t>AC-10</t>
        </is>
      </c>
      <c r="F11" s="4" t="inlineStr">
        <is>
          <t>用户评估</t>
        </is>
      </c>
      <c r="G11" s="10" t="inlineStr">
        <is>
          <t>第 6 周</t>
        </is>
      </c>
    </row>
    <row r="12">
      <c r="A12" s="10" t="inlineStr">
        <is>
          <t>FR-09</t>
        </is>
      </c>
      <c r="B12" s="10" t="inlineStr">
        <is>
          <t>功能</t>
        </is>
      </c>
      <c r="C12" s="4" t="inlineStr">
        <is>
          <t>提供本地指示（板载 LED + 蜂鸣器），无网络时仍可判读</t>
        </is>
      </c>
      <c r="D12" s="10" t="inlineStr">
        <is>
          <t>S</t>
        </is>
      </c>
      <c r="E12" s="10" t="inlineStr">
        <is>
          <t>AC-09</t>
        </is>
      </c>
      <c r="F12" s="4" t="inlineStr">
        <is>
          <t>系统</t>
        </is>
      </c>
      <c r="G12" s="10" t="inlineStr">
        <is>
          <t>第 10 周</t>
        </is>
      </c>
    </row>
    <row r="13">
      <c r="A13" s="10" t="inlineStr">
        <is>
          <t>FR-10</t>
        </is>
      </c>
      <c r="B13" s="10" t="inlineStr">
        <is>
          <t>功能</t>
        </is>
      </c>
      <c r="C13" s="4" t="inlineStr">
        <is>
          <t>记录报警事件（含触发指标与时间戳）并可导出</t>
        </is>
      </c>
      <c r="D13" s="10" t="inlineStr">
        <is>
          <t>S</t>
        </is>
      </c>
      <c r="E13" s="10" t="inlineStr">
        <is>
          <t>AC-10</t>
        </is>
      </c>
      <c r="F13" s="4" t="inlineStr">
        <is>
          <t>系统</t>
        </is>
      </c>
      <c r="G13" s="10" t="inlineStr">
        <is>
          <t>第 9 周</t>
        </is>
      </c>
    </row>
    <row r="14">
      <c r="A14" s="10" t="inlineStr">
        <is>
          <t>FR-11</t>
        </is>
      </c>
      <c r="B14" s="10" t="inlineStr">
        <is>
          <t>功能</t>
        </is>
      </c>
      <c r="C14" s="4" t="inlineStr">
        <is>
          <t>支持板载按键重新学习基线与静音</t>
        </is>
      </c>
      <c r="D14" s="10" t="inlineStr">
        <is>
          <t>C</t>
        </is>
      </c>
      <c r="E14" s="10" t="inlineStr">
        <is>
          <t>—</t>
        </is>
      </c>
      <c r="F14" s="4" t="inlineStr">
        <is>
          <t>现场操作</t>
        </is>
      </c>
      <c r="G14" s="10" t="inlineStr">
        <is>
          <t>第 10 周</t>
        </is>
      </c>
    </row>
    <row r="15">
      <c r="A15" s="10" t="inlineStr">
        <is>
          <t>NFR-01</t>
        </is>
      </c>
      <c r="B15" s="10" t="inlineStr">
        <is>
          <t>非功能</t>
        </is>
      </c>
      <c r="C15" s="4" t="inlineStr">
        <is>
          <t>全部电路 ≤ 5 V 直流（USB 供电），不接触市电；转动部件加防护</t>
        </is>
      </c>
      <c r="D15" s="10" t="inlineStr">
        <is>
          <t>M</t>
        </is>
      </c>
      <c r="E15" s="10" t="inlineStr">
        <is>
          <t>—</t>
        </is>
      </c>
      <c r="F15" s="4" t="inlineStr">
        <is>
          <t>走查</t>
        </is>
      </c>
      <c r="G15" s="10" t="inlineStr">
        <is>
          <t>第 3 周</t>
        </is>
      </c>
    </row>
    <row r="16">
      <c r="A16" s="10" t="inlineStr">
        <is>
          <t>NFR-02</t>
        </is>
      </c>
      <c r="B16" s="10" t="inlineStr">
        <is>
          <t>非功能</t>
        </is>
      </c>
      <c r="C16" s="4" t="inlineStr">
        <is>
          <t>不使用摄像头或麦克风，不采集任何可识别个人的数据</t>
        </is>
      </c>
      <c r="D16" s="10" t="inlineStr">
        <is>
          <t>M</t>
        </is>
      </c>
      <c r="E16" s="10" t="inlineStr">
        <is>
          <t>—</t>
        </is>
      </c>
      <c r="F16" s="4" t="inlineStr">
        <is>
          <t>走查</t>
        </is>
      </c>
      <c r="G16" s="10" t="inlineStr">
        <is>
          <t>第 3 周</t>
        </is>
      </c>
    </row>
    <row r="17">
      <c r="A17" s="10" t="inlineStr">
        <is>
          <t>NFR-03</t>
        </is>
      </c>
      <c r="B17" s="10" t="inlineStr">
        <is>
          <t>非功能</t>
        </is>
      </c>
      <c r="C17" s="4" t="inlineStr">
        <is>
          <t>连续运行 ≥ 72 h 无重启；看门狗、掉电恢复、断网自愈</t>
        </is>
      </c>
      <c r="D17" s="10" t="inlineStr">
        <is>
          <t>M</t>
        </is>
      </c>
      <c r="E17" s="10" t="inlineStr">
        <is>
          <t>AC-08</t>
        </is>
      </c>
      <c r="F17" s="4" t="inlineStr">
        <is>
          <t>系统</t>
        </is>
      </c>
      <c r="G17" s="10" t="inlineStr">
        <is>
          <t>第 10 周</t>
        </is>
      </c>
    </row>
    <row r="18">
      <c r="A18" s="10" t="inlineStr">
        <is>
          <t>NFR-04</t>
        </is>
      </c>
      <c r="B18" s="10" t="inlineStr">
        <is>
          <t>非功能</t>
        </is>
      </c>
      <c r="C18" s="4" t="inlineStr">
        <is>
          <t>模块可现场插拔更换且免重新编译；基线可一键重学</t>
        </is>
      </c>
      <c r="D18" s="10" t="inlineStr">
        <is>
          <t>S</t>
        </is>
      </c>
      <c r="E18" s="10" t="inlineStr">
        <is>
          <t>—</t>
        </is>
      </c>
      <c r="F18" s="4" t="inlineStr">
        <is>
          <t>走查</t>
        </is>
      </c>
      <c r="G18" s="10" t="inlineStr">
        <is>
          <t>第 10 周</t>
        </is>
      </c>
    </row>
    <row r="19">
      <c r="A19" s="10" t="inlineStr">
        <is>
          <t>NFR-05</t>
        </is>
      </c>
      <c r="B19" s="10" t="inlineStr">
        <is>
          <t>非功能</t>
        </is>
      </c>
      <c r="C19" s="4" t="inlineStr">
        <is>
          <t>单节点成本 ≤ ¥150（含耗材与备件）</t>
        </is>
      </c>
      <c r="D19" s="10" t="inlineStr">
        <is>
          <t>M</t>
        </is>
      </c>
      <c r="E19" s="10" t="inlineStr">
        <is>
          <t>AC-11</t>
        </is>
      </c>
      <c r="F19" s="4" t="inlineStr">
        <is>
          <t>核算</t>
        </is>
      </c>
      <c r="G19" s="10" t="inlineStr">
        <is>
          <t>第 3 周</t>
        </is>
      </c>
    </row>
    <row r="20">
      <c r="A20" s="10" t="inlineStr">
        <is>
          <t>NFR-06</t>
        </is>
      </c>
      <c r="B20" s="10" t="inlineStr">
        <is>
          <t>非功能</t>
        </is>
      </c>
      <c r="C20" s="4" t="inlineStr">
        <is>
          <t>仪表板中英双语；状态用文字 + 图标 + 颜色三重编码；字号可调</t>
        </is>
      </c>
      <c r="D20" s="10" t="inlineStr">
        <is>
          <t>M</t>
        </is>
      </c>
      <c r="E20" s="10" t="inlineStr">
        <is>
          <t>—</t>
        </is>
      </c>
      <c r="F20" s="4" t="inlineStr">
        <is>
          <t>用户评估</t>
        </is>
      </c>
      <c r="G20" s="10" t="inlineStr">
        <is>
          <t>第 6 周</t>
        </is>
      </c>
    </row>
    <row r="21">
      <c r="A21" s="10" t="inlineStr">
        <is>
          <t>NFR-07</t>
        </is>
      </c>
      <c r="B21" s="10" t="inlineStr">
        <is>
          <t>非功能</t>
        </is>
      </c>
      <c r="C21" s="4" t="inlineStr">
        <is>
          <t>数据模型带版本号并有文档，可被第三方平台订阅复用</t>
        </is>
      </c>
      <c r="D21" s="10" t="inlineStr">
        <is>
          <t>S</t>
        </is>
      </c>
      <c r="E21" s="10" t="inlineStr">
        <is>
          <t>—</t>
        </is>
      </c>
      <c r="F21" s="4" t="inlineStr">
        <is>
          <t>走查</t>
        </is>
      </c>
      <c r="G21" s="10" t="inlineStr">
        <is>
          <t>第 9 周</t>
        </is>
      </c>
    </row>
    <row r="22">
      <c r="A22" s="10" t="inlineStr">
        <is>
          <t>NFR-08</t>
        </is>
      </c>
      <c r="B22" s="10" t="inlineStr">
        <is>
          <t>非功能</t>
        </is>
      </c>
      <c r="C22" s="4" t="inlineStr">
        <is>
          <t>全程使用杜邦线与螺丝端子转接</t>
        </is>
      </c>
      <c r="D22" s="10" t="inlineStr">
        <is>
          <t>M</t>
        </is>
      </c>
      <c r="E22" s="10" t="inlineStr">
        <is>
          <t>AC-13</t>
        </is>
      </c>
      <c r="F22" s="4" t="inlineStr">
        <is>
          <t>走查</t>
        </is>
      </c>
      <c r="G22" s="10" t="inlineStr">
        <is>
          <t>第 3 周</t>
        </is>
      </c>
    </row>
    <row r="23">
      <c r="A23" s="10" t="inlineStr">
        <is>
          <t>NFR-09</t>
        </is>
      </c>
      <c r="B23" s="10" t="inlineStr">
        <is>
          <t>非功能</t>
        </is>
      </c>
      <c r="C23" s="4" t="inlineStr">
        <is>
          <t>外壳防护 ≥ IP54，工作温度 0 ~ 50 ℃</t>
        </is>
      </c>
      <c r="D23" s="10" t="inlineStr">
        <is>
          <t>S</t>
        </is>
      </c>
      <c r="E23" s="10" t="inlineStr">
        <is>
          <t>—</t>
        </is>
      </c>
      <c r="F23" s="4" t="inlineStr">
        <is>
          <t>走查</t>
        </is>
      </c>
      <c r="G23" s="10" t="inlineStr">
        <is>
          <t>第 10 周</t>
        </is>
      </c>
    </row>
    <row r="24">
      <c r="A24" s="10" t="inlineStr">
        <is>
          <t>AC-01</t>
        </is>
      </c>
      <c r="B24" s="10" t="inlineStr">
        <is>
          <t>验收</t>
        </is>
      </c>
      <c r="C24" s="4" t="inlineStr">
        <is>
          <t>振动采样率误差 ≤ 0.5 %</t>
        </is>
      </c>
      <c r="D24" s="10" t="inlineStr">
        <is>
          <t>—</t>
        </is>
      </c>
      <c r="E24" s="10" t="inlineStr">
        <is>
          <t>FR-01</t>
        </is>
      </c>
      <c r="F24" s="4" t="inlineStr">
        <is>
          <t>连续采集 1 s 统计实际点数（1000 ± 5）</t>
        </is>
      </c>
      <c r="G24" s="10" t="inlineStr">
        <is>
          <t>第 4 周</t>
        </is>
      </c>
    </row>
    <row r="25">
      <c r="A25" s="10" t="inlineStr">
        <is>
          <t>AC-02</t>
        </is>
      </c>
      <c r="B25" s="10" t="inlineStr">
        <is>
          <t>验收</t>
        </is>
      </c>
      <c r="C25" s="4" t="inlineStr">
        <is>
          <t>频谱频率误差 ≤ 1 % 或 ≤ Δf</t>
        </is>
      </c>
      <c r="D25" s="10" t="inlineStr">
        <is>
          <t>—</t>
        </is>
      </c>
      <c r="E25" s="10" t="inlineStr">
        <is>
          <t>FR-03</t>
        </is>
      </c>
      <c r="F25" s="4" t="inlineStr">
        <is>
          <t>音箱振膜 + 100 Hz 正弦验证</t>
        </is>
      </c>
      <c r="G25" s="10" t="inlineStr">
        <is>
          <t>第 5 周</t>
        </is>
      </c>
    </row>
    <row r="26">
      <c r="A26" s="10" t="inlineStr">
        <is>
          <t>AC-03</t>
        </is>
      </c>
      <c r="B26" s="10" t="inlineStr">
        <is>
          <t>验收</t>
        </is>
      </c>
      <c r="C26" s="4" t="inlineStr">
        <is>
          <t>幅值相对偏差 ≤ 10 %</t>
        </is>
      </c>
      <c r="D26" s="10" t="inlineStr">
        <is>
          <t>—</t>
        </is>
      </c>
      <c r="E26" s="10" t="inlineStr">
        <is>
          <t>FR-02</t>
        </is>
      </c>
      <c r="F26" s="4" t="inlineStr">
        <is>
          <t>与手持测振仪同点同时比对</t>
        </is>
      </c>
      <c r="G26" s="10" t="inlineStr">
        <is>
          <t>第 7 周</t>
        </is>
      </c>
    </row>
    <row r="27">
      <c r="A27" s="10" t="inlineStr">
        <is>
          <t>AC-04</t>
        </is>
      </c>
      <c r="B27" s="10" t="inlineStr">
        <is>
          <t>验收</t>
        </is>
      </c>
      <c r="C27" s="4" t="inlineStr">
        <is>
          <t>温度测量准确度 ± 0.5 ℃</t>
        </is>
      </c>
      <c r="D27" s="10" t="inlineStr">
        <is>
          <t>—</t>
        </is>
      </c>
      <c r="E27" s="10" t="inlineStr">
        <is>
          <t>FR-01</t>
        </is>
      </c>
      <c r="F27" s="4" t="inlineStr">
        <is>
          <t>冰水浴与温水比对</t>
        </is>
      </c>
      <c r="G27" s="10" t="inlineStr">
        <is>
          <t>第 5 周</t>
        </is>
      </c>
    </row>
    <row r="28">
      <c r="A28" s="10" t="inlineStr">
        <is>
          <t>AC-05</t>
        </is>
      </c>
      <c r="B28" s="10" t="inlineStr">
        <is>
          <t>验收</t>
        </is>
      </c>
      <c r="C28" s="4" t="inlineStr">
        <is>
          <t>3 类工况变化中至少 2 类在 60 s 内检出并分级正确</t>
        </is>
      </c>
      <c r="D28" s="10" t="inlineStr">
        <is>
          <t>—</t>
        </is>
      </c>
      <c r="E28" s="10" t="inlineStr">
        <is>
          <t>FR-05</t>
        </is>
      </c>
      <c r="F28" s="4" t="inlineStr">
        <is>
          <t>不平衡 / 松动 / 负载变化对照实验</t>
        </is>
      </c>
      <c r="G28" s="10" t="inlineStr">
        <is>
          <t>第 8 周</t>
        </is>
      </c>
    </row>
    <row r="29">
      <c r="A29" s="10" t="inlineStr">
        <is>
          <t>AC-06</t>
        </is>
      </c>
      <c r="B29" s="10" t="inlineStr">
        <is>
          <t>验收</t>
        </is>
      </c>
      <c r="C29" s="4" t="inlineStr">
        <is>
          <t>正常工况 2 h 内假阳性 ≤ 1 次</t>
        </is>
      </c>
      <c r="D29" s="10" t="inlineStr">
        <is>
          <t>—</t>
        </is>
      </c>
      <c r="E29" s="10" t="inlineStr">
        <is>
          <t>FR-04</t>
        </is>
      </c>
      <c r="F29" s="4" t="inlineStr">
        <is>
          <t>正常工况长时运行</t>
        </is>
      </c>
      <c r="G29" s="10" t="inlineStr">
        <is>
          <t>第 8 周</t>
        </is>
      </c>
    </row>
    <row r="30">
      <c r="A30" s="10" t="inlineStr">
        <is>
          <t>AC-07</t>
        </is>
      </c>
      <c r="B30" s="10" t="inlineStr">
        <is>
          <t>验收</t>
        </is>
      </c>
      <c r="C30" s="4" t="inlineStr">
        <is>
          <t>报警端到端延迟 ≤ 5 s</t>
        </is>
      </c>
      <c r="D30" s="10" t="inlineStr">
        <is>
          <t>—</t>
        </is>
      </c>
      <c r="E30" s="10" t="inlineStr">
        <is>
          <t>FR-06</t>
        </is>
      </c>
      <c r="F30" s="4" t="inlineStr">
        <is>
          <t>注入越限信号并计时</t>
        </is>
      </c>
      <c r="G30" s="10" t="inlineStr">
        <is>
          <t>第 8 周</t>
        </is>
      </c>
    </row>
    <row r="31">
      <c r="A31" s="10" t="inlineStr">
        <is>
          <t>AC-08</t>
        </is>
      </c>
      <c r="B31" s="10" t="inlineStr">
        <is>
          <t>验收</t>
        </is>
      </c>
      <c r="C31" s="4" t="inlineStr">
        <is>
          <t>连续运行 ≥ 72 h 无重启，丢数率 ≤ 1 %</t>
        </is>
      </c>
      <c r="D31" s="10" t="inlineStr">
        <is>
          <t>—</t>
        </is>
      </c>
      <c r="E31" s="10" t="inlineStr">
        <is>
          <t>NFR-03</t>
        </is>
      </c>
      <c r="F31" s="4" t="inlineStr">
        <is>
          <t>不间断运行并统计记录条数</t>
        </is>
      </c>
      <c r="G31" s="10" t="inlineStr">
        <is>
          <t>第 10 周</t>
        </is>
      </c>
    </row>
    <row r="32">
      <c r="A32" s="10" t="inlineStr">
        <is>
          <t>AC-09</t>
        </is>
      </c>
      <c r="B32" s="10" t="inlineStr">
        <is>
          <t>验收</t>
        </is>
      </c>
      <c r="C32" s="4" t="inlineStr">
        <is>
          <t>断网 ≤ 30 s 内自动重连并补传</t>
        </is>
      </c>
      <c r="D32" s="10" t="inlineStr">
        <is>
          <t>—</t>
        </is>
      </c>
      <c r="E32" s="10" t="inlineStr">
        <is>
          <t>FR-07 / FR-09</t>
        </is>
      </c>
      <c r="F32" s="4" t="inlineStr">
        <is>
          <t>拔插网线测试</t>
        </is>
      </c>
      <c r="G32" s="10" t="inlineStr">
        <is>
          <t>第 10 周</t>
        </is>
      </c>
    </row>
    <row r="33">
      <c r="A33" s="10" t="inlineStr">
        <is>
          <t>AC-10</t>
        </is>
      </c>
      <c r="B33" s="10" t="inlineStr">
        <is>
          <t>验收</t>
        </is>
      </c>
      <c r="C33" s="4" t="inlineStr">
        <is>
          <t>仪表板刷新 ≤ 5 s；历史可查 ≥ 4 周</t>
        </is>
      </c>
      <c r="D33" s="10" t="inlineStr">
        <is>
          <t>—</t>
        </is>
      </c>
      <c r="E33" s="10" t="inlineStr">
        <is>
          <t>FR-08 / FR-10</t>
        </is>
      </c>
      <c r="F33" s="4" t="inlineStr">
        <is>
          <t>走查 + 数据库查询</t>
        </is>
      </c>
      <c r="G33" s="10" t="inlineStr">
        <is>
          <t>第 9 周</t>
        </is>
      </c>
    </row>
    <row r="34">
      <c r="A34" s="10" t="inlineStr">
        <is>
          <t>AC-11</t>
        </is>
      </c>
      <c r="B34" s="10" t="inlineStr">
        <is>
          <t>验收</t>
        </is>
      </c>
      <c r="C34" s="4" t="inlineStr">
        <is>
          <t>单节点成本 ≤ ¥150</t>
        </is>
      </c>
      <c r="D34" s="10" t="inlineStr">
        <is>
          <t>—</t>
        </is>
      </c>
      <c r="E34" s="10" t="inlineStr">
        <is>
          <t>NFR-05</t>
        </is>
      </c>
      <c r="F34" s="4" t="inlineStr">
        <is>
          <t>按物料清单核算（本版 ¥94 / ¥119）</t>
        </is>
      </c>
      <c r="G34" s="10" t="inlineStr">
        <is>
          <t>第 3 周</t>
        </is>
      </c>
    </row>
    <row r="35">
      <c r="A35" s="10" t="inlineStr">
        <is>
          <t>AC-12</t>
        </is>
      </c>
      <c r="B35" s="10" t="inlineStr">
        <is>
          <t>验收</t>
        </is>
      </c>
      <c r="C35" s="4" t="inlineStr">
        <is>
          <t>重复性：变异系数 ≤ 3 %</t>
        </is>
      </c>
      <c r="D35" s="10" t="inlineStr">
        <is>
          <t>—</t>
        </is>
      </c>
      <c r="E35" s="10" t="inlineStr">
        <is>
          <t>FR-02 / FR-03</t>
        </is>
      </c>
      <c r="F35" s="4" t="inlineStr">
        <is>
          <t>同一工况重复测量 10 次</t>
        </is>
      </c>
      <c r="G35" s="10" t="inlineStr">
        <is>
          <t>第 8 周</t>
        </is>
      </c>
    </row>
    <row r="36">
      <c r="A36" s="10" t="inlineStr">
        <is>
          <t>AC-13</t>
        </is>
      </c>
      <c r="B36" s="10" t="inlineStr">
        <is>
          <t>验收</t>
        </is>
      </c>
      <c r="C36" s="4" t="inlineStr">
        <is>
          <t>装配方式：全部连接为插拔式或螺丝端子</t>
        </is>
      </c>
      <c r="D36" s="10" t="inlineStr">
        <is>
          <t>—</t>
        </is>
      </c>
      <c r="E36" s="10" t="inlineStr">
        <is>
          <t>NFR-08</t>
        </is>
      </c>
      <c r="F36" s="4" t="inlineStr">
        <is>
          <t>装配过程走查与记录</t>
        </is>
      </c>
      <c r="G36" s="10" t="inlineStr">
        <is>
          <t>第 3 周</t>
        </is>
      </c>
    </row>
    <row r="38">
      <c r="A38" s="2" t="inlineStr">
        <is>
          <t>优先级：M 必须 / S 应该 / C 可以。验收标准均须附测量记录，证据归档到 Git 仓库 /evidence 目录。</t>
        </is>
      </c>
    </row>
  </sheetData>
  <autoFilter ref="A3:G36"/>
  <mergeCells count="2">
    <mergeCell ref="A2:G2"/>
    <mergeCell ref="A1:G1"/>
  </mergeCells>
  <dataValidations count="1">
    <dataValidation sqref="D4:D36" showDropDown="0" showInputMessage="0" showErrorMessage="0" allowBlank="1" type="list">
      <formula1>"M,S,C"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46" customWidth="1" min="3" max="3"/>
    <col width="7" customWidth="1" min="4" max="4"/>
    <col width="11" customWidth="1" min="5" max="5"/>
    <col width="11" customWidth="1" min="6" max="6"/>
    <col width="11" customWidth="1" min="7" max="7"/>
    <col width="30" customWidth="1" min="8" max="8"/>
  </cols>
  <sheetData>
    <row r="1">
      <c r="A1" s="8" t="inlineStr">
        <is>
          <t>物料与耗材清单（参考价 / 实际采购价对照）</t>
        </is>
      </c>
    </row>
    <row r="2">
      <c r="A2" s="2" t="inlineStr">
        <is>
          <t>项目 8.1 振动状态监测器 · 受控文档台账　|　版本 V3.2　|　更新日期 2026-10-29　|　维护人：P1</t>
        </is>
      </c>
    </row>
    <row r="3">
      <c r="A3" s="9" t="inlineStr">
        <is>
          <t>#</t>
        </is>
      </c>
      <c r="B3" s="9" t="inlineStr">
        <is>
          <t>类别</t>
        </is>
      </c>
      <c r="C3" s="9" t="inlineStr">
        <is>
          <t>物料 / 规格</t>
        </is>
      </c>
      <c r="D3" s="9" t="inlineStr">
        <is>
          <t>数量</t>
        </is>
      </c>
      <c r="E3" s="9" t="inlineStr">
        <is>
          <t>参考单价 ¥</t>
        </is>
      </c>
      <c r="F3" s="9" t="inlineStr">
        <is>
          <t>实际单价 ¥</t>
        </is>
      </c>
      <c r="G3" s="9" t="inlineStr">
        <is>
          <t>实际小计 ¥</t>
        </is>
      </c>
      <c r="H3" s="9" t="inlineStr">
        <is>
          <t>采购备注</t>
        </is>
      </c>
    </row>
    <row r="4">
      <c r="A4" s="10" t="inlineStr">
        <is>
          <t>1</t>
        </is>
      </c>
      <c r="B4" s="10" t="inlineStr">
        <is>
          <t>主要器件</t>
        </is>
      </c>
      <c r="C4" s="4" t="inlineStr">
        <is>
          <t>ESP32-WROOM-32 开发板（CH340C，带排针 30Pin，Type-C）</t>
        </is>
      </c>
      <c r="D4" s="10" t="n">
        <v>2</v>
      </c>
      <c r="E4" s="10" t="n">
        <v>25</v>
      </c>
      <c r="F4" s="10" t="n">
        <v>23</v>
      </c>
      <c r="G4" s="10">
        <f>D4*F4</f>
        <v/>
      </c>
      <c r="H4" s="4" t="inlineStr">
        <is>
          <t>含备件；淘宝</t>
        </is>
      </c>
    </row>
    <row r="5">
      <c r="A5" s="10" t="inlineStr">
        <is>
          <t>2</t>
        </is>
      </c>
      <c r="B5" s="10" t="inlineStr">
        <is>
          <t>主要器件</t>
        </is>
      </c>
      <c r="C5" s="4" t="inlineStr">
        <is>
          <t>MPU-6050 三轴重力加速度模块（GY-521，带排针，I²C）</t>
        </is>
      </c>
      <c r="D5" s="10" t="n">
        <v>1</v>
      </c>
      <c r="E5" s="10" t="n">
        <v>6</v>
      </c>
      <c r="F5" s="10" t="n">
        <v>13.5</v>
      </c>
      <c r="G5" s="10">
        <f>D5*F5</f>
        <v/>
      </c>
      <c r="H5" s="4" t="inlineStr">
        <is>
          <t>到货读 WHO_AM_I 应为 0x68</t>
        </is>
      </c>
    </row>
    <row r="6">
      <c r="A6" s="10" t="inlineStr">
        <is>
          <t>3</t>
        </is>
      </c>
      <c r="B6" s="10" t="inlineStr">
        <is>
          <t>主要器件</t>
        </is>
      </c>
      <c r="C6" s="4" t="inlineStr">
        <is>
          <t>DS18B20 带防水探头转接模块 + 传感器 + 杜邦线</t>
        </is>
      </c>
      <c r="D6" s="10" t="n">
        <v>1</v>
      </c>
      <c r="E6" s="10" t="n">
        <v>8</v>
      </c>
      <c r="F6" s="10" t="n">
        <v>8.5</v>
      </c>
      <c r="G6" s="10">
        <f>D6*F6</f>
        <v/>
      </c>
      <c r="H6" s="4" t="inlineStr">
        <is>
          <t>模块自带绿色端子</t>
        </is>
      </c>
    </row>
    <row r="7">
      <c r="A7" s="10" t="inlineStr">
        <is>
          <t>4</t>
        </is>
      </c>
      <c r="B7" s="10" t="inlineStr">
        <is>
          <t>主要器件</t>
        </is>
      </c>
      <c r="C7" s="4" t="inlineStr">
        <is>
          <t>Micro SD 卡模块 SPI 接口（带排针，带电平转换）</t>
        </is>
      </c>
      <c r="D7" s="10" t="n">
        <v>1</v>
      </c>
      <c r="E7" s="10" t="n">
        <v>5</v>
      </c>
      <c r="F7" s="10" t="n">
        <v>2.3</v>
      </c>
      <c r="G7" s="10">
        <f>D7*F7</f>
        <v/>
      </c>
      <c r="H7" s="4" t="inlineStr">
        <is>
          <t>VCC 先试 3.3 V，不行再 5 V</t>
        </is>
      </c>
    </row>
    <row r="8">
      <c r="A8" s="10" t="inlineStr">
        <is>
          <t>5</t>
        </is>
      </c>
      <c r="B8" s="10" t="inlineStr">
        <is>
          <t>主要器件</t>
        </is>
      </c>
      <c r="C8" s="4" t="inlineStr">
        <is>
          <t>microSD 32 GB Class10 A1（联想，全新带 5 年换新）</t>
        </is>
      </c>
      <c r="D8" s="10" t="n">
        <v>1</v>
      </c>
      <c r="E8" s="10" t="n">
        <v>15</v>
      </c>
      <c r="F8" s="10" t="n">
        <v>35.9</v>
      </c>
      <c r="G8" s="10">
        <f>D8*F8</f>
        <v/>
      </c>
      <c r="H8" s="4" t="inlineStr">
        <is>
          <t>不用二手卡；到手拷 4 GB 验容量</t>
        </is>
      </c>
    </row>
    <row r="9">
      <c r="A9" s="10" t="inlineStr">
        <is>
          <t>6</t>
        </is>
      </c>
      <c r="B9" s="10" t="inlineStr">
        <is>
          <t>主要器件</t>
        </is>
      </c>
      <c r="C9" s="4" t="inlineStr">
        <is>
          <t>有源蜂鸣器模块（3.3~5 V，低电平触发）</t>
        </is>
      </c>
      <c r="D9" s="10" t="n">
        <v>1</v>
      </c>
      <c r="E9" s="10" t="n">
        <v>2</v>
      </c>
      <c r="F9" s="10" t="n">
        <v>1.5</v>
      </c>
      <c r="G9" s="10">
        <f>D9*F9</f>
        <v/>
      </c>
      <c r="H9" s="4" t="inlineStr">
        <is>
          <t>低电平触发：GPIO25 输出 LOW 时响；上电前先拉高，见实施方案 5.3 ⑤</t>
        </is>
      </c>
    </row>
    <row r="10">
      <c r="A10" s="10" t="inlineStr">
        <is>
          <t>7</t>
        </is>
      </c>
      <c r="B10" s="10" t="inlineStr">
        <is>
          <t>主要器件</t>
        </is>
      </c>
      <c r="C10" s="4" t="inlineStr">
        <is>
          <t>静音风扇 5 V 9225（92 mm，1700 RPM，XH2.54-2P）</t>
        </is>
      </c>
      <c r="D10" s="10" t="n">
        <v>1</v>
      </c>
      <c r="E10" s="10" t="n">
        <v>12</v>
      </c>
      <c r="F10" s="10" t="n">
        <v>4.8</v>
      </c>
      <c r="G10" s="10">
        <f>D10*F10</f>
        <v/>
      </c>
      <c r="H10" s="4" t="inlineStr">
        <is>
          <t>转频 28.3 Hz，落在基频带内</t>
        </is>
      </c>
    </row>
    <row r="11">
      <c r="A11" s="10" t="inlineStr">
        <is>
          <t>8</t>
        </is>
      </c>
      <c r="B11" s="10" t="inlineStr">
        <is>
          <t>连接件</t>
        </is>
      </c>
      <c r="C11" s="4" t="inlineStr">
        <is>
          <t>TYPE-C 数据线 1 m（可传输数据）</t>
        </is>
      </c>
      <c r="D11" s="10" t="n">
        <v>1</v>
      </c>
      <c r="E11" s="10" t="n">
        <v>5</v>
      </c>
      <c r="F11" s="10" t="n">
        <v>2.2</v>
      </c>
      <c r="G11" s="10">
        <f>D11*F11</f>
        <v/>
      </c>
      <c r="H11" s="4" t="inlineStr">
        <is>
          <t>非纯充电线</t>
        </is>
      </c>
    </row>
    <row r="12">
      <c r="A12" s="10" t="inlineStr">
        <is>
          <t>9</t>
        </is>
      </c>
      <c r="B12" s="10" t="inlineStr">
        <is>
          <t>连接件</t>
        </is>
      </c>
      <c r="C12" s="4" t="inlineStr">
        <is>
          <t>USB 公头转杜邦 2.54 mm 线（给风扇供 5 V）</t>
        </is>
      </c>
      <c r="D12" s="10" t="n">
        <v>1</v>
      </c>
      <c r="E12" s="10" t="n">
        <v>5</v>
      </c>
      <c r="F12" s="10" t="n">
        <v>4.8</v>
      </c>
      <c r="G12" s="10">
        <f>D12*F12</f>
        <v/>
      </c>
      <c r="H12" s="4" t="inlineStr"/>
    </row>
    <row r="13">
      <c r="A13" s="10" t="inlineStr">
        <is>
          <t>10</t>
        </is>
      </c>
      <c r="B13" s="10" t="inlineStr">
        <is>
          <t>连接件</t>
        </is>
      </c>
      <c r="C13" s="4" t="inlineStr">
        <is>
          <t>杜邦线 母-母 / 母-公 20 cm</t>
        </is>
      </c>
      <c r="D13" s="10" t="n">
        <v>1</v>
      </c>
      <c r="E13" s="10" t="n">
        <v>6</v>
      </c>
      <c r="F13" s="10" t="n">
        <v>0</v>
      </c>
      <c r="G13" s="10">
        <f>D13*F13</f>
        <v/>
      </c>
      <c r="H13" s="4" t="inlineStr">
        <is>
          <t>学校提供</t>
        </is>
      </c>
    </row>
    <row r="14">
      <c r="A14" s="10" t="inlineStr">
        <is>
          <t>11</t>
        </is>
      </c>
      <c r="B14" s="10" t="inlineStr">
        <is>
          <t>连接件</t>
        </is>
      </c>
      <c r="C14" s="4" t="inlineStr">
        <is>
          <t>面包板 400 孔（电源轨分配）</t>
        </is>
      </c>
      <c r="D14" s="10" t="n">
        <v>1</v>
      </c>
      <c r="E14" s="10" t="n">
        <v>5</v>
      </c>
      <c r="F14" s="10" t="n">
        <v>0</v>
      </c>
      <c r="G14" s="10">
        <f>D14*F14</f>
        <v/>
      </c>
      <c r="H14" s="4" t="inlineStr">
        <is>
          <t>学校 / 自有</t>
        </is>
      </c>
    </row>
    <row r="15">
      <c r="A15" s="10" t="inlineStr">
        <is>
          <t>12</t>
        </is>
      </c>
      <c r="B15" s="10" t="inlineStr">
        <is>
          <t>结构电源</t>
        </is>
      </c>
      <c r="C15" s="4" t="inlineStr">
        <is>
          <t>外壳 / 底板 / 配重（快递盒 + 木条 + 硬币）</t>
        </is>
      </c>
      <c r="D15" s="10" t="n">
        <v>1</v>
      </c>
      <c r="E15" s="10" t="n">
        <v>13</v>
      </c>
      <c r="F15" s="10" t="n">
        <v>0</v>
      </c>
      <c r="G15" s="10">
        <f>D15*F15</f>
        <v/>
      </c>
      <c r="H15" s="4" t="inlineStr">
        <is>
          <t>自备</t>
        </is>
      </c>
    </row>
    <row r="16">
      <c r="A16" s="10" t="inlineStr">
        <is>
          <t>13</t>
        </is>
      </c>
      <c r="B16" s="10" t="inlineStr">
        <is>
          <t>结构电源</t>
        </is>
      </c>
      <c r="C16" s="4" t="inlineStr">
        <is>
          <t>USB 充电器 ×2（ESP32 与风扇各一）</t>
        </is>
      </c>
      <c r="D16" s="10" t="n">
        <v>2</v>
      </c>
      <c r="E16" s="10" t="n">
        <v>0</v>
      </c>
      <c r="F16" s="10" t="n">
        <v>0</v>
      </c>
      <c r="G16" s="10">
        <f>D16*F16</f>
        <v/>
      </c>
      <c r="H16" s="4" t="inlineStr">
        <is>
          <t>现有</t>
        </is>
      </c>
    </row>
    <row r="17">
      <c r="C17" s="11" t="inlineStr">
        <is>
          <t>实际支出合计</t>
        </is>
      </c>
      <c r="F17" s="12">
        <f>SUM(G4:G16)</f>
        <v/>
      </c>
    </row>
    <row r="18">
      <c r="C18" s="11" t="inlineStr">
        <is>
          <t>按参考单价口径合计（对照）</t>
        </is>
      </c>
      <c r="F18" s="12">
        <f>SUMPRODUCT(D4:D16,E4:E16)</f>
        <v/>
      </c>
    </row>
    <row r="22">
      <c r="C22" s="2" t="inlineStr">
        <is>
          <t>说明：实际单价为最终采购价（含税、含运费）；参考单价为方案编制时的估价。杜邦线与面包板由学校提供、外壳与底板自备、电源用现有 USB 充电器，故实际支出为 0。服务端复用现有笔记本，不产生硬件采购。详见「1-需求与验收」。</t>
        </is>
      </c>
    </row>
  </sheetData>
  <autoFilter ref="A3:H16"/>
  <mergeCells count="2">
    <mergeCell ref="A2:H2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40" customWidth="1" min="2" max="2"/>
    <col width="11" customWidth="1" min="3" max="3"/>
    <col width="7" customWidth="1" min="4" max="4"/>
    <col width="7" customWidth="1" min="5" max="5"/>
    <col width="8" customWidth="1" min="6" max="6"/>
    <col width="46" customWidth="1" min="7" max="7"/>
    <col width="8" customWidth="1" min="8" max="8"/>
    <col width="22" customWidth="1" min="9" max="9"/>
    <col width="9" customWidth="1" min="10" max="10"/>
  </cols>
  <sheetData>
    <row r="1">
      <c r="A1" s="8" t="inlineStr">
        <is>
          <t>风险登记册（等级 = 概率 × 影响，自动计算）</t>
        </is>
      </c>
    </row>
    <row r="2">
      <c r="A2" s="2" t="inlineStr">
        <is>
          <t>项目 8.1 振动状态监测器 · 受控文档台账　|　版本 V3.2　|　更新日期 2026-10-29　|　维护人：P1</t>
        </is>
      </c>
    </row>
    <row r="3">
      <c r="A3" s="9" t="inlineStr">
        <is>
          <t>ID</t>
        </is>
      </c>
      <c r="B3" s="9" t="inlineStr">
        <is>
          <t>风险描述</t>
        </is>
      </c>
      <c r="C3" s="9" t="inlineStr">
        <is>
          <t>类别</t>
        </is>
      </c>
      <c r="D3" s="9" t="inlineStr">
        <is>
          <t>概率 P</t>
        </is>
      </c>
      <c r="E3" s="9" t="inlineStr">
        <is>
          <t>影响 I</t>
        </is>
      </c>
      <c r="F3" s="9" t="inlineStr">
        <is>
          <t>等级</t>
        </is>
      </c>
      <c r="G3" s="9" t="inlineStr">
        <is>
          <t>应对措施</t>
        </is>
      </c>
      <c r="H3" s="9" t="inlineStr">
        <is>
          <t>责任人</t>
        </is>
      </c>
      <c r="I3" s="9" t="inlineStr">
        <is>
          <t>触发条件</t>
        </is>
      </c>
      <c r="J3" s="9" t="inlineStr">
        <is>
          <t>状态</t>
        </is>
      </c>
    </row>
    <row r="4">
      <c r="A4" s="10" t="inlineStr">
        <is>
          <t>R-01</t>
        </is>
      </c>
      <c r="B4" s="4" t="inlineStr">
        <is>
          <t>传感器安装方式不当导致高频幅值失真</t>
        </is>
      </c>
      <c r="C4" s="10" t="inlineStr">
        <is>
          <t>技术</t>
        </is>
      </c>
      <c r="D4" s="10" t="n">
        <v>2</v>
      </c>
      <c r="E4" s="10" t="n">
        <v>2</v>
      </c>
      <c r="F4" s="10">
        <f>D4*E4</f>
        <v/>
      </c>
      <c r="G4" s="4" t="inlineStr">
        <is>
          <t>模块贴紧外壳刚性安装，标定记录安装方式并做频响修正</t>
        </is>
      </c>
      <c r="H4" s="10" t="inlineStr">
        <is>
          <t>P2</t>
        </is>
      </c>
      <c r="I4" s="4" t="inlineStr">
        <is>
          <t>不同安装方式下幅值差异 &gt; 10 %</t>
        </is>
      </c>
      <c r="J4" s="10" t="inlineStr">
        <is>
          <t>开放</t>
        </is>
      </c>
    </row>
    <row r="5">
      <c r="A5" s="10" t="inlineStr">
        <is>
          <t>R-02</t>
        </is>
      </c>
      <c r="B5" s="4" t="inlineStr">
        <is>
          <t>无标准振动台，幅值无法绝对溯源</t>
        </is>
      </c>
      <c r="C5" s="10" t="inlineStr">
        <is>
          <t>资源</t>
        </is>
      </c>
      <c r="D5" s="10" t="n">
        <v>3</v>
      </c>
      <c r="E5" s="10" t="n">
        <v>2</v>
      </c>
      <c r="F5" s="10">
        <f>D5*E5</f>
        <v/>
      </c>
      <c r="G5" s="4" t="inlineStr">
        <is>
          <t>重力翻转静态标定 + 手持测振仪比对 + 报告不确定度</t>
        </is>
      </c>
      <c r="H5" s="10" t="inlineStr">
        <is>
          <t>P4</t>
        </is>
      </c>
      <c r="I5" s="4" t="inlineStr">
        <is>
          <t>第 7 周仍无可用比对设备</t>
        </is>
      </c>
      <c r="J5" s="10" t="inlineStr">
        <is>
          <t>开放</t>
        </is>
      </c>
    </row>
    <row r="6">
      <c r="A6" s="10" t="inlineStr">
        <is>
          <t>R-03</t>
        </is>
      </c>
      <c r="B6" s="4" t="inlineStr">
        <is>
          <t>Wi-Fi 覆盖不足或丢包</t>
        </is>
      </c>
      <c r="C6" s="10" t="inlineStr">
        <is>
          <t>基础设施</t>
        </is>
      </c>
      <c r="D6" s="10" t="n">
        <v>2</v>
      </c>
      <c r="E6" s="10" t="n">
        <v>2</v>
      </c>
      <c r="F6" s="10">
        <f>D6*E6</f>
        <v/>
      </c>
      <c r="G6" s="4" t="inlineStr">
        <is>
          <t>本地 SD 先存后传；必要时用手机热点</t>
        </is>
      </c>
      <c r="H6" s="10" t="inlineStr">
        <is>
          <t>P3</t>
        </is>
      </c>
      <c r="I6" s="4" t="inlineStr">
        <is>
          <t>连续丢包 &gt; 1 %</t>
        </is>
      </c>
      <c r="J6" s="10" t="inlineStr">
        <is>
          <t>开放</t>
        </is>
      </c>
    </row>
    <row r="7">
      <c r="A7" s="10" t="inlineStr">
        <is>
          <t>R-04</t>
        </is>
      </c>
      <c r="B7" s="4" t="inlineStr">
        <is>
          <t>MPU6050 带宽仅 260 Hz，限制可诊断的故障类型</t>
        </is>
      </c>
      <c r="C7" s="10" t="inlineStr">
        <is>
          <t>技术</t>
        </is>
      </c>
      <c r="D7" s="10" t="n">
        <v>3</v>
      </c>
      <c r="E7" s="10" t="n">
        <v>3</v>
      </c>
      <c r="F7" s="10">
        <f>D7*E7</f>
        <v/>
      </c>
      <c r="G7" s="4" t="inlineStr">
        <is>
          <t>确认目标故障频率均 &lt; 130 Hz 并写入报告；预留升级到 ICM-42688-P 的路径</t>
        </is>
      </c>
      <c r="H7" s="10" t="inlineStr">
        <is>
          <t>P3</t>
        </is>
      </c>
      <c r="I7" s="4" t="inlineStr">
        <is>
          <t>出现 &gt; 260 Hz 的诊断需求</t>
        </is>
      </c>
      <c r="J7" s="10" t="inlineStr">
        <is>
          <t>开放</t>
        </is>
      </c>
    </row>
    <row r="8">
      <c r="A8" s="10" t="inlineStr">
        <is>
          <t>R-05</t>
        </is>
      </c>
      <c r="B8" s="4" t="inlineStr">
        <is>
          <t>台架转速过低，基频带内无可观测峰值</t>
        </is>
      </c>
      <c r="C8" s="10" t="inlineStr">
        <is>
          <t>技术</t>
        </is>
      </c>
      <c r="D8" s="10" t="n">
        <v>2</v>
      </c>
      <c r="E8" s="10" t="n">
        <v>2</v>
      </c>
      <c r="F8" s="10">
        <f>D8*E8</f>
        <v/>
      </c>
      <c r="G8" s="4" t="inlineStr">
        <is>
          <t>选用 1200 r/min 以上风扇；必要时下移基频带并重新标定</t>
        </is>
      </c>
      <c r="H8" s="10" t="inlineStr">
        <is>
          <t>P2</t>
        </is>
      </c>
      <c r="I8" s="4" t="inlineStr">
        <is>
          <t>基频峰值 &lt; 15 Hz</t>
        </is>
      </c>
      <c r="J8" s="10" t="inlineStr">
        <is>
          <t>开放</t>
        </is>
      </c>
    </row>
    <row r="9">
      <c r="A9" s="10" t="inlineStr">
        <is>
          <t>R-06</t>
        </is>
      </c>
      <c r="B9" s="4" t="inlineStr">
        <is>
          <t>到货与预期不符（排针未焊、随附线缆为纯充电线）</t>
        </is>
      </c>
      <c r="C9" s="10" t="inlineStr">
        <is>
          <t>采购</t>
        </is>
      </c>
      <c r="D9" s="10" t="n">
        <v>3</v>
      </c>
      <c r="E9" s="10" t="n">
        <v>2</v>
      </c>
      <c r="F9" s="10">
        <f>D9*E9</f>
        <v/>
      </c>
      <c r="G9" s="4" t="inlineStr">
        <is>
          <t>下单明确勾选“带排针”版本；到货当天验货，不合格立即换货；另备一根数据线</t>
        </is>
      </c>
      <c r="H9" s="10" t="inlineStr">
        <is>
          <t>P2</t>
        </is>
      </c>
      <c r="I9" s="4" t="inlineStr">
        <is>
          <t>到货为散件或线缆不可传数据</t>
        </is>
      </c>
      <c r="J9" s="10" t="inlineStr">
        <is>
          <t>开放</t>
        </is>
      </c>
    </row>
    <row r="10">
      <c r="A10" s="10" t="inlineStr">
        <is>
          <t>R-07</t>
        </is>
      </c>
      <c r="B10" s="4" t="inlineStr">
        <is>
          <t>采样节拍被 Wi-Fi 中断，频谱失真</t>
        </is>
      </c>
      <c r="C10" s="10" t="inlineStr">
        <is>
          <t>技术</t>
        </is>
      </c>
      <c r="D10" s="10" t="n">
        <v>3</v>
      </c>
      <c r="E10" s="10" t="n">
        <v>2</v>
      </c>
      <c r="F10" s="10">
        <f>D10*E10</f>
        <v/>
      </c>
      <c r="G10" s="4" t="inlineStr">
        <is>
          <t>采样任务绑定 core 1 并设高优先级；采样用定时器而非 delay</t>
        </is>
      </c>
      <c r="H10" s="10" t="inlineStr">
        <is>
          <t>P3</t>
        </is>
      </c>
      <c r="I10" s="4" t="inlineStr">
        <is>
          <t>采样点数偏差 &gt; 0.5 %</t>
        </is>
      </c>
      <c r="J10" s="10" t="inlineStr">
        <is>
          <t>开放</t>
        </is>
      </c>
    </row>
    <row r="11">
      <c r="A11" s="10" t="inlineStr">
        <is>
          <t>R-08</t>
        </is>
      </c>
      <c r="B11" s="4" t="inlineStr">
        <is>
          <t>MQTT 报文超长导致静默发送失败</t>
        </is>
      </c>
      <c r="C11" s="10" t="inlineStr">
        <is>
          <t>技术</t>
        </is>
      </c>
      <c r="D11" s="10" t="n">
        <v>3</v>
      </c>
      <c r="E11" s="10" t="n">
        <v>2</v>
      </c>
      <c r="F11" s="10">
        <f>D11*E11</f>
        <v/>
      </c>
      <c r="G11" s="4" t="inlineStr">
        <is>
          <t>首行设置 setBufferSize(1024)；增加发送返回值检查</t>
        </is>
      </c>
      <c r="H11" s="10" t="inlineStr">
        <is>
          <t>P3</t>
        </is>
      </c>
      <c r="I11" s="4" t="inlineStr">
        <is>
          <t>MQTTX 收不到完整 JSON</t>
        </is>
      </c>
      <c r="J11" s="10" t="inlineStr">
        <is>
          <t>开放</t>
        </is>
      </c>
    </row>
    <row r="12">
      <c r="A12" s="10" t="inlineStr">
        <is>
          <t>R-09</t>
        </is>
      </c>
      <c r="B12" s="4" t="inlineStr">
        <is>
          <t>器件缺货或交期过长</t>
        </is>
      </c>
      <c r="C12" s="10" t="inlineStr">
        <is>
          <t>采购</t>
        </is>
      </c>
      <c r="D12" s="10" t="n">
        <v>2</v>
      </c>
      <c r="E12" s="10" t="n">
        <v>3</v>
      </c>
      <c r="F12" s="10">
        <f>D12*E12</f>
        <v/>
      </c>
      <c r="G12" s="4" t="inlineStr">
        <is>
          <t>提前 2 周下单；ESP32 与 MPU6050 各备一件</t>
        </is>
      </c>
      <c r="H12" s="10" t="inlineStr">
        <is>
          <t>P2</t>
        </is>
      </c>
      <c r="I12" s="4" t="inlineStr">
        <is>
          <t>交期 &gt; 10 天</t>
        </is>
      </c>
      <c r="J12" s="10" t="inlineStr">
        <is>
          <t>开放</t>
        </is>
      </c>
    </row>
    <row r="13">
      <c r="A13" s="10" t="inlineStr">
        <is>
          <t>R-10</t>
        </is>
      </c>
      <c r="B13" s="4" t="inlineStr">
        <is>
          <t>团队时间冲突（其他模块考核）</t>
        </is>
      </c>
      <c r="C13" s="10" t="inlineStr">
        <is>
          <t>项目</t>
        </is>
      </c>
      <c r="D13" s="10" t="n">
        <v>3</v>
      </c>
      <c r="E13" s="10" t="n">
        <v>2</v>
      </c>
      <c r="F13" s="10">
        <f>D13*E13</f>
        <v/>
      </c>
      <c r="G13" s="4" t="inlineStr">
        <is>
          <t>周会 + WBS 分解到人；关键路径任务提前一周启动</t>
        </is>
      </c>
      <c r="H13" s="10" t="inlineStr">
        <is>
          <t>P1</t>
        </is>
      </c>
      <c r="I13" s="4" t="inlineStr">
        <is>
          <t>连续两周进度延期</t>
        </is>
      </c>
      <c r="J13" s="10" t="inlineStr">
        <is>
          <t>开放</t>
        </is>
      </c>
    </row>
    <row r="14">
      <c r="A14" s="10" t="inlineStr">
        <is>
          <t>R-11</t>
        </is>
      </c>
      <c r="B14" s="4" t="inlineStr">
        <is>
          <t>microSD 卡损坏导致历史丢失</t>
        </is>
      </c>
      <c r="C14" s="10" t="inlineStr">
        <is>
          <t>技术</t>
        </is>
      </c>
      <c r="D14" s="10" t="n">
        <v>2</v>
      </c>
      <c r="E14" s="10" t="n">
        <v>2</v>
      </c>
      <c r="F14" s="10">
        <f>D14*E14</f>
        <v/>
      </c>
      <c r="G14" s="4" t="inlineStr">
        <is>
          <t>使用 Class10 卡；每日校验落盘；重要数据每周导出到仓库</t>
        </is>
      </c>
      <c r="H14" s="10" t="inlineStr">
        <is>
          <t>P3</t>
        </is>
      </c>
      <c r="I14" s="4" t="inlineStr">
        <is>
          <t>文件写入校验失败</t>
        </is>
      </c>
      <c r="J14" s="10" t="inlineStr">
        <is>
          <t>开放</t>
        </is>
      </c>
    </row>
    <row r="15">
      <c r="A15" s="10" t="inlineStr">
        <is>
          <t>R-12</t>
        </is>
      </c>
      <c r="B15" s="4" t="inlineStr">
        <is>
          <t>Node-RED 或笔记本不可用</t>
        </is>
      </c>
      <c r="C15" s="10" t="inlineStr">
        <is>
          <t>基础设施</t>
        </is>
      </c>
      <c r="D15" s="10" t="n">
        <v>2</v>
      </c>
      <c r="E15" s="10" t="n">
        <v>2</v>
      </c>
      <c r="F15" s="10">
        <f>D15*E15</f>
        <v/>
      </c>
      <c r="G15" s="4" t="inlineStr">
        <is>
          <t>节点本地闭环运行；恢复后补传</t>
        </is>
      </c>
      <c r="H15" s="10" t="inlineStr">
        <is>
          <t>P3</t>
        </is>
      </c>
      <c r="I15" s="4" t="inlineStr">
        <is>
          <t>服务端掉线 &gt; 30 min</t>
        </is>
      </c>
      <c r="J15" s="10" t="inlineStr">
        <is>
          <t>开放</t>
        </is>
      </c>
    </row>
    <row r="16">
      <c r="A16" s="10" t="inlineStr">
        <is>
          <t>R-13</t>
        </is>
      </c>
      <c r="B16" s="4" t="inlineStr">
        <is>
          <t>校准不确定度导致结论不可靠</t>
        </is>
      </c>
      <c r="C16" s="10" t="inlineStr">
        <is>
          <t>验证</t>
        </is>
      </c>
      <c r="D16" s="10" t="n">
        <v>2</v>
      </c>
      <c r="E16" s="10" t="n">
        <v>2</v>
      </c>
      <c r="F16" s="10">
        <f>D16*E16</f>
        <v/>
      </c>
      <c r="G16" s="4" t="inlineStr">
        <is>
          <t>给出不确定度估算，结论附置信区间，避免过度断言</t>
        </is>
      </c>
      <c r="H16" s="10" t="inlineStr">
        <is>
          <t>P4</t>
        </is>
      </c>
      <c r="I16" s="4" t="inlineStr">
        <is>
          <t>同点重测偏差 &gt; 10 %</t>
        </is>
      </c>
      <c r="J16" s="10" t="inlineStr">
        <is>
          <t>开放</t>
        </is>
      </c>
    </row>
    <row r="18">
      <c r="A18" s="2" t="inlineStr">
        <is>
          <t>概率 / 影响取值为 1（低）、2（中）、3（高）。等级 ≥ 6 的风险需在周会上专项跟踪。</t>
        </is>
      </c>
    </row>
  </sheetData>
  <autoFilter ref="A3:J16"/>
  <mergeCells count="2">
    <mergeCell ref="A1:J1"/>
    <mergeCell ref="A2:J2"/>
  </mergeCells>
  <dataValidations count="1">
    <dataValidation sqref="D4:E16" showDropDown="0" showInputMessage="0" showErrorMessage="0" allowBlank="1" type="list">
      <formula1>"1,2,3"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7" customWidth="1" min="2" max="2"/>
    <col width="17" customWidth="1" min="3" max="3"/>
    <col width="17" customWidth="1" min="4" max="4"/>
    <col width="17" customWidth="1" min="5" max="5"/>
  </cols>
  <sheetData>
    <row r="1">
      <c r="A1" s="8" t="inlineStr">
        <is>
          <t>责任矩阵（R 主责 / S 支持 / C 审核 / I 知会）</t>
        </is>
      </c>
    </row>
    <row r="2">
      <c r="A2" s="2" t="inlineStr">
        <is>
          <t>项目 8.1 振动状态监测器 · 受控文档台账　|　版本 V3.2　|　更新日期 2026-10-29　|　维护人：P1</t>
        </is>
      </c>
    </row>
    <row r="3">
      <c r="A3" s="9" t="inlineStr">
        <is>
          <t>交付物</t>
        </is>
      </c>
      <c r="B3" s="9" t="inlineStr">
        <is>
          <t>P1 项目/客户协调员</t>
        </is>
      </c>
      <c r="C3" s="9" t="inlineStr">
        <is>
          <t>P2 硬件/集成</t>
        </is>
      </c>
      <c r="D3" s="9" t="inlineStr">
        <is>
          <t>P3 软件/数据</t>
        </is>
      </c>
      <c r="E3" s="9" t="inlineStr">
        <is>
          <t>P4 测试/文档</t>
        </is>
      </c>
    </row>
    <row r="4">
      <c r="A4" s="4" t="inlineStr">
        <is>
          <t>问题定义与需求规格</t>
        </is>
      </c>
      <c r="B4" s="10" t="inlineStr">
        <is>
          <t>R</t>
        </is>
      </c>
      <c r="C4" s="10" t="inlineStr">
        <is>
          <t>S</t>
        </is>
      </c>
      <c r="D4" s="10" t="inlineStr">
        <is>
          <t>S</t>
        </is>
      </c>
      <c r="E4" s="10" t="inlineStr">
        <is>
          <t>C</t>
        </is>
      </c>
    </row>
    <row r="5">
      <c r="A5" s="4" t="inlineStr">
        <is>
          <t>系统设计与选型</t>
        </is>
      </c>
      <c r="B5" s="10" t="inlineStr">
        <is>
          <t>C</t>
        </is>
      </c>
      <c r="C5" s="10" t="inlineStr">
        <is>
          <t>R</t>
        </is>
      </c>
      <c r="D5" s="10" t="inlineStr">
        <is>
          <t>S</t>
        </is>
      </c>
      <c r="E5" s="10" t="inlineStr">
        <is>
          <t>S</t>
        </is>
      </c>
    </row>
    <row r="6">
      <c r="A6" s="4" t="inlineStr">
        <is>
          <t>硬件搭建与台架</t>
        </is>
      </c>
      <c r="B6" s="10" t="inlineStr">
        <is>
          <t>I</t>
        </is>
      </c>
      <c r="C6" s="10" t="inlineStr">
        <is>
          <t>R</t>
        </is>
      </c>
      <c r="D6" s="10" t="inlineStr">
        <is>
          <t>S</t>
        </is>
      </c>
      <c r="E6" s="10" t="inlineStr">
        <is>
          <t>S</t>
        </is>
      </c>
    </row>
    <row r="7">
      <c r="A7" s="4" t="inlineStr">
        <is>
          <t>固件与边缘算法</t>
        </is>
      </c>
      <c r="B7" s="10" t="inlineStr">
        <is>
          <t>I</t>
        </is>
      </c>
      <c r="C7" s="10" t="inlineStr">
        <is>
          <t>S</t>
        </is>
      </c>
      <c r="D7" s="10" t="inlineStr">
        <is>
          <t>R</t>
        </is>
      </c>
      <c r="E7" s="10" t="inlineStr">
        <is>
          <t>C</t>
        </is>
      </c>
    </row>
    <row r="8">
      <c r="A8" s="4" t="inlineStr">
        <is>
          <t>通信与仪表板</t>
        </is>
      </c>
      <c r="B8" s="10" t="inlineStr">
        <is>
          <t>I</t>
        </is>
      </c>
      <c r="C8" s="10" t="inlineStr">
        <is>
          <t>S</t>
        </is>
      </c>
      <c r="D8" s="10" t="inlineStr">
        <is>
          <t>R</t>
        </is>
      </c>
      <c r="E8" s="10" t="inlineStr">
        <is>
          <t>S</t>
        </is>
      </c>
    </row>
    <row r="9">
      <c r="A9" s="4" t="inlineStr">
        <is>
          <t>校准与测试计划</t>
        </is>
      </c>
      <c r="B9" s="10" t="inlineStr">
        <is>
          <t>C</t>
        </is>
      </c>
      <c r="C9" s="10" t="inlineStr">
        <is>
          <t>S</t>
        </is>
      </c>
      <c r="D9" s="10" t="inlineStr">
        <is>
          <t>S</t>
        </is>
      </c>
      <c r="E9" s="10" t="inlineStr">
        <is>
          <t>R</t>
        </is>
      </c>
    </row>
    <row r="10">
      <c r="A10" s="4" t="inlineStr">
        <is>
          <t>验证实验执行与数据分析</t>
        </is>
      </c>
      <c r="B10" s="10" t="inlineStr">
        <is>
          <t>S</t>
        </is>
      </c>
      <c r="C10" s="10" t="inlineStr">
        <is>
          <t>S</t>
        </is>
      </c>
      <c r="D10" s="10" t="inlineStr">
        <is>
          <t>C</t>
        </is>
      </c>
      <c r="E10" s="10" t="inlineStr">
        <is>
          <t>R</t>
        </is>
      </c>
    </row>
    <row r="11">
      <c r="A11" s="4" t="inlineStr">
        <is>
          <t>风险登记册与项目记录</t>
        </is>
      </c>
      <c r="B11" s="10" t="inlineStr">
        <is>
          <t>R</t>
        </is>
      </c>
      <c r="C11" s="10" t="inlineStr">
        <is>
          <t>S</t>
        </is>
      </c>
      <c r="D11" s="10" t="inlineStr">
        <is>
          <t>S</t>
        </is>
      </c>
      <c r="E11" s="10" t="inlineStr">
        <is>
          <t>C</t>
        </is>
      </c>
    </row>
    <row r="12">
      <c r="A12" s="4" t="inlineStr">
        <is>
          <t>报告、演示与个人日志</t>
        </is>
      </c>
      <c r="B12" s="10" t="inlineStr">
        <is>
          <t>C</t>
        </is>
      </c>
      <c r="C12" s="10" t="inlineStr">
        <is>
          <t>S</t>
        </is>
      </c>
      <c r="D12" s="10" t="inlineStr">
        <is>
          <t>S</t>
        </is>
      </c>
      <c r="E12" s="10" t="inlineStr">
        <is>
          <t>R</t>
        </is>
      </c>
    </row>
    <row r="14">
      <c r="A14" s="2" t="inlineStr">
        <is>
          <t>每位成员须同时具备一项主责（R）。中期评审时更新并随报告提交。</t>
        </is>
      </c>
    </row>
  </sheetData>
  <autoFilter ref="A3:E12"/>
  <mergeCells count="2">
    <mergeCell ref="A2:E2"/>
    <mergeCell ref="A1:E1"/>
  </mergeCells>
  <dataValidations count="1">
    <dataValidation sqref="B4:E12" showDropDown="0" showInputMessage="0" showErrorMessage="0" allowBlank="1" type="list">
      <formula1>"R,S,C,I"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44" customWidth="1" min="2" max="2"/>
    <col width="8" customWidth="1" min="3" max="3"/>
    <col width="10" customWidth="1" min="4" max="4"/>
    <col width="36" customWidth="1" min="5" max="5"/>
    <col width="13" customWidth="1" min="6" max="6"/>
  </cols>
  <sheetData>
    <row r="1">
      <c r="A1" s="8" t="inlineStr">
        <is>
          <t>十二周计划与正式关口</t>
        </is>
      </c>
    </row>
    <row r="2">
      <c r="A2" s="2" t="inlineStr">
        <is>
          <t>项目 8.1 振动状态监测器 · 受控文档台账　|　版本 V3.2　|　更新日期 2026-10-29　|　维护人：P1</t>
        </is>
      </c>
    </row>
    <row r="3">
      <c r="A3" s="9" t="inlineStr">
        <is>
          <t>#</t>
        </is>
      </c>
      <c r="B3" s="9" t="inlineStr">
        <is>
          <t>任务</t>
        </is>
      </c>
      <c r="C3" s="9" t="inlineStr">
        <is>
          <t>周次</t>
        </is>
      </c>
      <c r="D3" s="9" t="inlineStr">
        <is>
          <t>责任人</t>
        </is>
      </c>
      <c r="E3" s="9" t="inlineStr">
        <is>
          <t>交付物</t>
        </is>
      </c>
      <c r="F3" s="9" t="inlineStr">
        <is>
          <t>关口</t>
        </is>
      </c>
    </row>
    <row r="4">
      <c r="A4" s="10" t="n">
        <v>1</v>
      </c>
      <c r="B4" s="4" t="inlineStr">
        <is>
          <t>问题定义与校园需求（客户访谈）</t>
        </is>
      </c>
      <c r="C4" s="10" t="n">
        <v>1</v>
      </c>
      <c r="D4" s="10" t="inlineStr">
        <is>
          <t>P1</t>
        </is>
      </c>
      <c r="E4" s="4" t="inlineStr">
        <is>
          <t>问题陈述、利益相关者、地点、成功标准</t>
        </is>
      </c>
      <c r="F4" s="10" t="inlineStr">
        <is>
          <t>概念评审</t>
        </is>
      </c>
    </row>
    <row r="5">
      <c r="A5" s="10" t="n">
        <v>2</v>
      </c>
      <c r="B5" s="4" t="inlineStr">
        <is>
          <t>现状对标 · 需求与验收标准 · 伦理/隐私/安全筛查</t>
        </is>
      </c>
      <c r="C5" s="10" t="n">
        <v>2</v>
      </c>
      <c r="D5" s="10" t="inlineStr">
        <is>
          <t>P1/P4</t>
        </is>
      </c>
      <c r="E5" s="4" t="inlineStr">
        <is>
          <t>对标分析、11 项 FR、9 项 NFR、13 条 AC、筛查表</t>
        </is>
      </c>
      <c r="F5" s="10" t="inlineStr">
        <is>
          <t>需求关口</t>
        </is>
      </c>
    </row>
    <row r="6">
      <c r="A6" s="10" t="n">
        <v>3</v>
      </c>
      <c r="B6" s="4" t="inlineStr">
        <is>
          <t>系统设计：架构、选型、物料清单、风险登记册；下单采购</t>
        </is>
      </c>
      <c r="C6" s="10" t="n">
        <v>3</v>
      </c>
      <c r="D6" s="10" t="inlineStr">
        <is>
          <t>P2/P3</t>
        </is>
      </c>
      <c r="E6" s="4" t="inlineStr">
        <is>
          <t>架构图、物料清单、风险登记册</t>
        </is>
      </c>
      <c r="F6" s="10" t="inlineStr">
        <is>
          <t>设计关口</t>
        </is>
      </c>
    </row>
    <row r="7">
      <c r="A7" s="10" t="n">
        <v>4</v>
      </c>
      <c r="B7" s="4" t="inlineStr">
        <is>
          <t>步骤 1~4：最小系统、MPU6050、DS18B20、microSD（接线方式同前）</t>
        </is>
      </c>
      <c r="C7" s="10" t="n">
        <v>4</v>
      </c>
      <c r="D7" s="10" t="inlineStr">
        <is>
          <t>P2</t>
        </is>
      </c>
      <c r="E7" s="4" t="inlineStr">
        <is>
          <t>可运行硬件，单元测试记录</t>
        </is>
      </c>
      <c r="F7" s="10" t="inlineStr">
        <is>
          <t>进度评审 1</t>
        </is>
      </c>
    </row>
    <row r="8">
      <c r="A8" s="10" t="n">
        <v>5</v>
      </c>
      <c r="B8" s="4" t="inlineStr">
        <is>
          <t>步骤 5~6：定时采样与 FFT、特征计算</t>
        </is>
      </c>
      <c r="C8" s="10" t="n">
        <v>5</v>
      </c>
      <c r="D8" s="10" t="inlineStr">
        <is>
          <t>P3</t>
        </is>
      </c>
      <c r="E8" s="4" t="inlineStr">
        <is>
          <t>固件与频谱验证记录</t>
        </is>
      </c>
      <c r="F8" s="10" t="inlineStr">
        <is>
          <t>—</t>
        </is>
      </c>
    </row>
    <row r="9">
      <c r="A9" s="10" t="n">
        <v>6</v>
      </c>
      <c r="B9" s="4" t="inlineStr">
        <is>
          <t>步骤 7~9：基线判别、MQTT 上报、Node-RED 仪表板</t>
        </is>
      </c>
      <c r="C9" s="10" t="n">
        <v>6</v>
      </c>
      <c r="D9" s="10" t="inlineStr">
        <is>
          <t>P3/P4</t>
        </is>
      </c>
      <c r="E9" s="4" t="inlineStr">
        <is>
          <t>可演示的端到端系统</t>
        </is>
      </c>
      <c r="F9" s="10" t="inlineStr">
        <is>
          <t>中期评估</t>
        </is>
      </c>
    </row>
    <row r="10">
      <c r="A10" s="10" t="n">
        <v>7</v>
      </c>
      <c r="B10" s="4" t="inlineStr">
        <is>
          <t>步骤 10：校准（重力翻转、温度、幅值比对）</t>
        </is>
      </c>
      <c r="C10" s="10" t="n">
        <v>7</v>
      </c>
      <c r="D10" s="10" t="inlineStr">
        <is>
          <t>P4</t>
        </is>
      </c>
      <c r="E10" s="4" t="inlineStr">
        <is>
          <t>校准报告与不确定度</t>
        </is>
      </c>
      <c r="F10" s="10" t="inlineStr">
        <is>
          <t>技术评审</t>
        </is>
      </c>
    </row>
    <row r="11">
      <c r="A11" s="10" t="n">
        <v>8</v>
      </c>
      <c r="B11" s="4" t="inlineStr">
        <is>
          <t>步骤 11~12：台架搭建与三类工况对照实验</t>
        </is>
      </c>
      <c r="C11" s="10" t="n">
        <v>8</v>
      </c>
      <c r="D11" s="10" t="inlineStr">
        <is>
          <t>P4/P2</t>
        </is>
      </c>
      <c r="E11" s="4" t="inlineStr">
        <is>
          <t>实验数据集</t>
        </is>
      </c>
      <c r="F11" s="10" t="inlineStr">
        <is>
          <t>证据检查点</t>
        </is>
      </c>
    </row>
    <row r="12">
      <c r="A12" s="10" t="n">
        <v>9</v>
      </c>
      <c r="B12" s="4" t="inlineStr">
        <is>
          <t>数据分析、SDG 与部署评估、UL–LICHPU 复制性</t>
        </is>
      </c>
      <c r="C12" s="10" t="n">
        <v>9</v>
      </c>
      <c r="D12" s="10" t="inlineStr">
        <is>
          <t>P4/P1</t>
        </is>
      </c>
      <c r="E12" s="4" t="inlineStr">
        <is>
          <t>分析报告、复制性评估</t>
        </is>
      </c>
      <c r="F12" s="10" t="inlineStr">
        <is>
          <t>进度评审 2</t>
        </is>
      </c>
    </row>
    <row r="13">
      <c r="A13" s="10" t="n">
        <v>10</v>
      </c>
      <c r="B13" s="4" t="inlineStr">
        <is>
          <t>缺陷修复、设计冻结、连续 72 h 运行验证</t>
        </is>
      </c>
      <c r="C13" s="10" t="n">
        <v>10</v>
      </c>
      <c r="D13" s="10" t="inlineStr">
        <is>
          <t>全员</t>
        </is>
      </c>
      <c r="E13" s="4" t="inlineStr">
        <is>
          <t>缺陷关闭清单、AC-08 记录</t>
        </is>
      </c>
      <c r="F13" s="10" t="inlineStr">
        <is>
          <t>设计冻结</t>
        </is>
      </c>
    </row>
    <row r="14">
      <c r="A14" s="10" t="n">
        <v>11</v>
      </c>
      <c r="B14" s="4" t="inlineStr">
        <is>
          <t>报告、海报、演示准备、仓库与文档收尾</t>
        </is>
      </c>
      <c r="C14" s="10" t="n">
        <v>11</v>
      </c>
      <c r="D14" s="10" t="inlineStr">
        <is>
          <t>全员</t>
        </is>
      </c>
      <c r="E14" s="4" t="inlineStr">
        <is>
          <t>报告草稿、幻灯片、README</t>
        </is>
      </c>
      <c r="F14" s="10" t="inlineStr">
        <is>
          <t>草案就绪</t>
        </is>
      </c>
    </row>
    <row r="15">
      <c r="A15" s="10" t="n">
        <v>12</v>
      </c>
      <c r="B15" s="4" t="inlineStr">
        <is>
          <t>最终评估：原型演示 + 团队汇报 + 个人答辩</t>
        </is>
      </c>
      <c r="C15" s="10" t="n">
        <v>12</v>
      </c>
      <c r="D15" s="10" t="inlineStr">
        <is>
          <t>全员</t>
        </is>
      </c>
      <c r="E15" s="4" t="inlineStr">
        <is>
          <t>原型、报告、个人工程日志</t>
        </is>
      </c>
      <c r="F15" s="10" t="inlineStr">
        <is>
          <t>最终关口</t>
        </is>
      </c>
    </row>
    <row r="17">
      <c r="A17" s="2" t="inlineStr">
        <is>
          <t>周次与《实施方案》第四章的 13 个施工步骤对应；关口日期待模块负责人确认后填入。</t>
        </is>
      </c>
    </row>
  </sheetData>
  <autoFilter ref="A3:F15"/>
  <mergeCells count="2">
    <mergeCell ref="A2:F2"/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8" customWidth="1" min="3" max="3"/>
    <col width="12" customWidth="1" min="4" max="4"/>
    <col width="8" customWidth="1" min="5" max="5"/>
    <col width="26" customWidth="1" min="6" max="6"/>
    <col width="22" customWidth="1" min="7" max="7"/>
    <col width="34" customWidth="1" min="8" max="8"/>
    <col width="8" customWidth="1" min="9" max="9"/>
    <col width="24" customWidth="1" min="10" max="10"/>
  </cols>
  <sheetData>
    <row r="1">
      <c r="A1" s="8" t="inlineStr">
        <is>
          <t>测试执行记录（对应评估组成 D，全部为实测结果）</t>
        </is>
      </c>
    </row>
    <row r="2">
      <c r="A2" s="2" t="inlineStr">
        <is>
          <t>项目 8.1 振动状态监测器 · 受控文档台账　|　版本 V3.2　|　更新日期 2026-10-29　|　维护人：P1</t>
        </is>
      </c>
    </row>
    <row r="3">
      <c r="A3" s="9" t="inlineStr">
        <is>
          <t>用例 ID</t>
        </is>
      </c>
      <c r="B3" s="9" t="inlineStr">
        <is>
          <t>关联需求</t>
        </is>
      </c>
      <c r="C3" s="9" t="inlineStr">
        <is>
          <t>测试层级</t>
        </is>
      </c>
      <c r="D3" s="9" t="inlineStr">
        <is>
          <t>测试日期</t>
        </is>
      </c>
      <c r="E3" s="9" t="inlineStr">
        <is>
          <t>执行人</t>
        </is>
      </c>
      <c r="F3" s="9" t="inlineStr">
        <is>
          <t>输入 / 条件</t>
        </is>
      </c>
      <c r="G3" s="9" t="inlineStr">
        <is>
          <t>期望结果</t>
        </is>
      </c>
      <c r="H3" s="9" t="inlineStr">
        <is>
          <t>实测结果</t>
        </is>
      </c>
      <c r="I3" s="9" t="inlineStr">
        <is>
          <t>判定</t>
        </is>
      </c>
      <c r="J3" s="9" t="inlineStr">
        <is>
          <t>证据文件</t>
        </is>
      </c>
    </row>
    <row r="4">
      <c r="A4" s="10" t="inlineStr">
        <is>
          <t>TC-001</t>
        </is>
      </c>
      <c r="B4" s="10" t="inlineStr">
        <is>
          <t>FR-01</t>
        </is>
      </c>
      <c r="C4" s="10" t="inlineStr">
        <is>
          <t>单元</t>
        </is>
      </c>
      <c r="D4" s="10" t="inlineStr">
        <is>
          <t>2026-10-25</t>
        </is>
      </c>
      <c r="E4" s="10" t="inlineStr">
        <is>
          <t>P3</t>
        </is>
      </c>
      <c r="F4" s="4" t="inlineStr">
        <is>
          <t>连续采集 1024 点，用 micros() 记录实际耗时</t>
        </is>
      </c>
      <c r="G4" s="4" t="inlineStr">
        <is>
          <t>采样率误差 ≤ 0.5 %</t>
        </is>
      </c>
      <c r="H4" s="4" t="inlineStr">
        <is>
          <t>耗时 1023 ms，得 999.7 Hz，误差 −0.03 %</t>
        </is>
      </c>
      <c r="I4" s="10" t="inlineStr">
        <is>
          <t>P</t>
        </is>
      </c>
      <c r="J4" s="4" t="inlineStr">
        <is>
          <t>firmware/07_sampling_fft</t>
        </is>
      </c>
    </row>
    <row r="5">
      <c r="A5" s="10" t="inlineStr">
        <is>
          <t>TC-002</t>
        </is>
      </c>
      <c r="B5" s="10" t="inlineStr">
        <is>
          <t>FR-01</t>
        </is>
      </c>
      <c r="C5" s="10" t="inlineStr">
        <is>
          <t>单元</t>
        </is>
      </c>
      <c r="D5" s="10" t="inlineStr">
        <is>
          <t>2026-10-25</t>
        </is>
      </c>
      <c r="E5" s="10" t="inlineStr">
        <is>
          <t>P3</t>
        </is>
      </c>
      <c r="F5" s="4" t="inlineStr">
        <is>
          <t>直读 0x75 寄存器原始值</t>
        </is>
      </c>
      <c r="G5" s="4" t="inlineStr">
        <is>
          <t>WHO_AM_I = 0x68</t>
        </is>
      </c>
      <c r="H5" s="4" t="inlineStr">
        <is>
          <t>原始值 0x68（库归一化后返回 0x34，已核对两者）</t>
        </is>
      </c>
      <c r="I5" s="10" t="inlineStr">
        <is>
          <t>P</t>
        </is>
      </c>
      <c r="J5" s="4" t="inlineStr">
        <is>
          <t>firmware/06_mpu6050_test</t>
        </is>
      </c>
    </row>
    <row r="6">
      <c r="A6" s="10" t="inlineStr">
        <is>
          <t>TC-003</t>
        </is>
      </c>
      <c r="B6" s="10" t="inlineStr">
        <is>
          <t>FR-01</t>
        </is>
      </c>
      <c r="C6" s="10" t="inlineStr">
        <is>
          <t>单元</t>
        </is>
      </c>
      <c r="D6" s="10" t="inlineStr">
        <is>
          <t>2026-10-25</t>
        </is>
      </c>
      <c r="E6" s="10" t="inlineStr">
        <is>
          <t>P3</t>
        </is>
      </c>
      <c r="F6" s="4" t="inlineStr">
        <is>
          <t>静止平放，读取三轴合成模长</t>
        </is>
      </c>
      <c r="G6" s="4" t="inlineStr">
        <is>
          <t>1.000 ± 0.2 g</t>
        </is>
      </c>
      <c r="H6" s="4" t="inlineStr">
        <is>
          <t>0.991 ~ 1.002 g（偏差 0.9 %）</t>
        </is>
      </c>
      <c r="I6" s="10" t="inlineStr">
        <is>
          <t>P</t>
        </is>
      </c>
      <c r="J6" s="4" t="inlineStr">
        <is>
          <t>firmware/06_mpu6050_test</t>
        </is>
      </c>
    </row>
    <row r="7">
      <c r="A7" s="10" t="inlineStr">
        <is>
          <t>TC-004</t>
        </is>
      </c>
      <c r="B7" s="10" t="inlineStr">
        <is>
          <t>FR-02</t>
        </is>
      </c>
      <c r="C7" s="10" t="inlineStr">
        <is>
          <t>单元</t>
        </is>
      </c>
      <c r="D7" s="10" t="inlineStr">
        <is>
          <t>2026-10-25</t>
        </is>
      </c>
      <c r="E7" s="10" t="inlineStr">
        <is>
          <t>P3</t>
        </is>
      </c>
      <c r="F7" s="4" t="inlineStr">
        <is>
          <t>模块静置，1024 点 × 多帧，取带限 RMS</t>
        </is>
      </c>
      <c r="G7" s="4" t="inlineStr">
        <is>
          <t>与噪声密度推算同量级</t>
        </is>
      </c>
      <c r="H7" s="4" t="inlineStr">
        <is>
          <t>0.0053 g（手册推算约 0.0064 g）</t>
        </is>
      </c>
      <c r="I7" s="10" t="inlineStr">
        <is>
          <t>P</t>
        </is>
      </c>
      <c r="J7" s="4" t="inlineStr">
        <is>
          <t>experiments/2026-10-25</t>
        </is>
      </c>
    </row>
    <row r="8">
      <c r="A8" s="10" t="inlineStr">
        <is>
          <t>TC-005</t>
        </is>
      </c>
      <c r="B8" s="10" t="inlineStr">
        <is>
          <t>FR-02</t>
        </is>
      </c>
      <c r="C8" s="10" t="inlineStr">
        <is>
          <t>系统</t>
        </is>
      </c>
      <c r="D8" s="10" t="inlineStr">
        <is>
          <t>2026-10-26</t>
        </is>
      </c>
      <c r="E8" s="10" t="inlineStr">
        <is>
          <t>P4</t>
        </is>
      </c>
      <c r="F8" s="4" t="inlineStr">
        <is>
          <t>风扇正常运转，读取基频带峰值频率</t>
        </is>
      </c>
      <c r="G8" s="4" t="inlineStr">
        <is>
          <t>位于 1× 转频 ± 2 Hz</t>
        </is>
      </c>
      <c r="H8" s="4" t="inlineStr">
        <is>
          <t>稳定在 33 ~ 35 Hz（对应 1990 ~ 2110 RPM）</t>
        </is>
      </c>
      <c r="I8" s="10" t="inlineStr">
        <is>
          <t>P</t>
        </is>
      </c>
      <c r="J8" s="4" t="inlineStr">
        <is>
          <t>experiments/data/spectrum_*.csv</t>
        </is>
      </c>
    </row>
    <row r="9">
      <c r="A9" s="10" t="inlineStr">
        <is>
          <t>TC-006</t>
        </is>
      </c>
      <c r="B9" s="10" t="inlineStr">
        <is>
          <t>FR-03</t>
        </is>
      </c>
      <c r="C9" s="10" t="inlineStr">
        <is>
          <t>单元</t>
        </is>
      </c>
      <c r="D9" s="10" t="inlineStr">
        <is>
          <t>2026-10-27</t>
        </is>
      </c>
      <c r="E9" s="10" t="inlineStr">
        <is>
          <t>P3</t>
        </is>
      </c>
      <c r="F9" s="4" t="inlineStr">
        <is>
          <t>读取 OneWire ROM 地址</t>
        </is>
      </c>
      <c r="G9" s="4" t="inlineStr">
        <is>
          <t>家族码 0x28（DS18B20）</t>
        </is>
      </c>
      <c r="H9" s="4" t="inlineStr">
        <is>
          <t>28:9C:52:23:7D:25:0B:DD</t>
        </is>
      </c>
      <c r="I9" s="10" t="inlineStr">
        <is>
          <t>P</t>
        </is>
      </c>
      <c r="J9" s="4" t="inlineStr">
        <is>
          <t>firmware/10_ds18b20_test</t>
        </is>
      </c>
    </row>
    <row r="10">
      <c r="A10" s="10" t="inlineStr">
        <is>
          <t>TC-007</t>
        </is>
      </c>
      <c r="B10" s="10" t="inlineStr">
        <is>
          <t>FR-03</t>
        </is>
      </c>
      <c r="C10" s="10" t="inlineStr">
        <is>
          <t>单元</t>
        </is>
      </c>
      <c r="D10" s="10" t="inlineStr">
        <is>
          <t>2026-10-27</t>
        </is>
      </c>
      <c r="E10" s="10" t="inlineStr">
        <is>
          <t>P3</t>
        </is>
      </c>
      <c r="F10" s="4" t="inlineStr">
        <is>
          <t>静置 90 s，连续读数 53 次</t>
        </is>
      </c>
      <c r="G10" s="4" t="inlineStr">
        <is>
          <t>噪声低于 1 LSB</t>
        </is>
      </c>
      <c r="H10" s="4" t="inlineStr">
        <is>
          <t>极差 0.25 ℃，读数成段恒定，台阶恰为 0.0625 ℃</t>
        </is>
      </c>
      <c r="I10" s="10" t="inlineStr">
        <is>
          <t>P</t>
        </is>
      </c>
      <c r="J10" s="4" t="inlineStr">
        <is>
          <t>experiments/2026-10-27</t>
        </is>
      </c>
    </row>
    <row r="11">
      <c r="A11" s="10" t="inlineStr">
        <is>
          <t>TC-008</t>
        </is>
      </c>
      <c r="B11" s="10" t="inlineStr">
        <is>
          <t>FR-03</t>
        </is>
      </c>
      <c r="C11" s="10" t="inlineStr">
        <is>
          <t>单元</t>
        </is>
      </c>
      <c r="D11" s="10" t="inlineStr">
        <is>
          <t>2026-10-27</t>
        </is>
      </c>
      <c r="E11" s="10" t="inlineStr">
        <is>
          <t>P3</t>
        </is>
      </c>
      <c r="F11" s="4" t="inlineStr">
        <is>
          <t>手指握持探头 30 s</t>
        </is>
      </c>
      <c r="G11" s="4" t="inlineStr">
        <is>
          <t>升温明显且可观察</t>
        </is>
      </c>
      <c r="H11" s="4" t="inlineStr">
        <is>
          <t>升温 3.25 ℃（30.19 → 33.44），速率单调递减</t>
        </is>
      </c>
      <c r="I11" s="10" t="inlineStr">
        <is>
          <t>P</t>
        </is>
      </c>
      <c r="J11" s="4" t="inlineStr">
        <is>
          <t>experiments/2026-10-27</t>
        </is>
      </c>
    </row>
    <row r="12">
      <c r="A12" s="10" t="inlineStr">
        <is>
          <t>TC-009</t>
        </is>
      </c>
      <c r="B12" s="10" t="inlineStr">
        <is>
          <t>FR-03</t>
        </is>
      </c>
      <c r="C12" s="10" t="inlineStr">
        <is>
          <t>单元</t>
        </is>
      </c>
      <c r="D12" s="10" t="inlineStr">
        <is>
          <t>2026-10-27</t>
        </is>
      </c>
      <c r="E12" s="10" t="inlineStr">
        <is>
          <t>P3</t>
        </is>
      </c>
      <c r="F12" s="4" t="inlineStr">
        <is>
          <t>松开探头后静置 100 s</t>
        </is>
      </c>
      <c r="G12" s="4" t="inlineStr">
        <is>
          <t>温度回落且无迟滞</t>
        </is>
      </c>
      <c r="H12" s="4" t="inlineStr">
        <is>
          <t>降温 4.50 ℃（32.62 → 28.12），平滑指数衰减</t>
        </is>
      </c>
      <c r="I12" s="10" t="inlineStr">
        <is>
          <t>P</t>
        </is>
      </c>
      <c r="J12" s="4" t="inlineStr">
        <is>
          <t>experiments/2026-10-27</t>
        </is>
      </c>
    </row>
    <row r="13">
      <c r="A13" s="10" t="inlineStr">
        <is>
          <t>TC-010</t>
        </is>
      </c>
      <c r="B13" s="10" t="inlineStr">
        <is>
          <t>FR-05</t>
        </is>
      </c>
      <c r="C13" s="10" t="inlineStr">
        <is>
          <t>集成</t>
        </is>
      </c>
      <c r="D13" s="10" t="inlineStr">
        <is>
          <t>2026-10-26</t>
        </is>
      </c>
      <c r="E13" s="10" t="inlineStr">
        <is>
          <t>P3</t>
        </is>
      </c>
      <c r="F13" s="4" t="inlineStr">
        <is>
          <t>设备发布一帧完整 JSON</t>
        </is>
      </c>
      <c r="G13" s="4" t="inlineStr">
        <is>
          <t>字段齐全、时间戳正确</t>
        </is>
      </c>
      <c r="H13" s="4" t="inlineStr">
        <is>
          <t>收到报文，ts 为 NTP 时间且逐条递增</t>
        </is>
      </c>
      <c r="I13" s="10" t="inlineStr">
        <is>
          <t>P</t>
        </is>
      </c>
      <c r="J13" s="4" t="inlineStr">
        <is>
          <t>.node-red/mqtt_received.log</t>
        </is>
      </c>
    </row>
    <row r="14">
      <c r="A14" s="10" t="inlineStr">
        <is>
          <t>TC-011</t>
        </is>
      </c>
      <c r="B14" s="10" t="inlineStr">
        <is>
          <t>FR-09</t>
        </is>
      </c>
      <c r="C14" s="10" t="inlineStr">
        <is>
          <t>系统</t>
        </is>
      </c>
      <c r="D14" s="10" t="inlineStr">
        <is>
          <t>2026-10-26</t>
        </is>
      </c>
      <c r="E14" s="10" t="inlineStr">
        <is>
          <t>P3</t>
        </is>
      </c>
      <c r="F14" s="4" t="inlineStr">
        <is>
          <t>断开笔记本 Wi-Fi 30 s 后恢复</t>
        </is>
      </c>
      <c r="G14" s="4" t="inlineStr">
        <is>
          <t>自动重连、补发且不丢数据</t>
        </is>
      </c>
      <c r="H14" s="4" t="inlineStr">
        <is>
          <t>缓冲 1→5 条，恢复后全部补发；补发数据时间戳仍为原测量时刻</t>
        </is>
      </c>
      <c r="I14" s="10" t="inlineStr">
        <is>
          <t>P</t>
        </is>
      </c>
      <c r="J14" s="4" t="inlineStr">
        <is>
          <t>experiments/2026-10-26-系统联调.md</t>
        </is>
      </c>
    </row>
    <row r="15">
      <c r="A15" s="10" t="inlineStr">
        <is>
          <t>TC-012</t>
        </is>
      </c>
      <c r="B15" s="10" t="inlineStr">
        <is>
          <t>FR-10</t>
        </is>
      </c>
      <c r="C15" s="10" t="inlineStr">
        <is>
          <t>集成</t>
        </is>
      </c>
      <c r="D15" s="10" t="inlineStr">
        <is>
          <t>2026-10-26</t>
        </is>
      </c>
      <c r="E15" s="10" t="inlineStr">
        <is>
          <t>P3</t>
        </is>
      </c>
      <c r="F15" s="4" t="inlineStr">
        <is>
          <t>连续运行，检查 SD 卡日志文件</t>
        </is>
      </c>
      <c r="G15" s="4" t="inlineStr">
        <is>
          <t>每帧一行且可读回</t>
        </is>
      </c>
      <c r="H15" s="4" t="inlineStr">
        <is>
          <t>/vib_log.csv 正常追加，每行 flush，掉电最多丢 1 条</t>
        </is>
      </c>
      <c r="I15" s="10" t="inlineStr">
        <is>
          <t>P</t>
        </is>
      </c>
      <c r="J15" s="4" t="inlineStr">
        <is>
          <t>firmware/09（串口命令 l）</t>
        </is>
      </c>
    </row>
    <row r="16">
      <c r="A16" s="10" t="inlineStr">
        <is>
          <t>TC-013</t>
        </is>
      </c>
      <c r="B16" s="10" t="inlineStr">
        <is>
          <t>FR-04</t>
        </is>
      </c>
      <c r="C16" s="10" t="inlineStr">
        <is>
          <t>系统</t>
        </is>
      </c>
      <c r="D16" s="10" t="inlineStr">
        <is>
          <t>2026-10-26</t>
        </is>
      </c>
      <c r="E16" s="10" t="inlineStr">
        <is>
          <t>P4</t>
        </is>
      </c>
      <c r="F16" s="4" t="inlineStr">
        <is>
          <t>风扇运转中现场加入 0.35 g 配重</t>
        </is>
      </c>
      <c r="G16" s="4" t="inlineStr">
        <is>
          <t>10 s 内状态升为报警</t>
        </is>
      </c>
      <c r="H16" s="4" t="inlineStr">
        <is>
          <t>约 6 s 后状态由 normal 翻转为 alarm</t>
        </is>
      </c>
      <c r="I16" s="10" t="inlineStr">
        <is>
          <t>P</t>
        </is>
      </c>
      <c r="J16" s="4" t="inlineStr">
        <is>
          <t>evidence/dashboard_live_alarm.png</t>
        </is>
      </c>
    </row>
    <row r="17">
      <c r="A17" s="10" t="inlineStr">
        <is>
          <t>TC-014</t>
        </is>
      </c>
      <c r="B17" s="10" t="inlineStr">
        <is>
          <t>NFR-05</t>
        </is>
      </c>
      <c r="C17" s="10" t="inlineStr">
        <is>
          <t>单元</t>
        </is>
      </c>
      <c r="D17" s="10" t="inlineStr">
        <is>
          <t>2026-10-27</t>
        </is>
      </c>
      <c r="E17" s="10" t="inlineStr">
        <is>
          <t>P3</t>
        </is>
      </c>
      <c r="F17" s="4" t="inlineStr">
        <is>
          <t>风扇停转时触发基线自学习</t>
        </is>
      </c>
      <c r="G17" s="4" t="inlineStr">
        <is>
          <t>应拒绝该基线</t>
        </is>
      </c>
      <c r="H17" s="4" t="inlineStr">
        <is>
          <t>μ = 0.0053 g &lt; 0.010 g，拒绝并置为 uncalibrated</t>
        </is>
      </c>
      <c r="I17" s="10" t="inlineStr">
        <is>
          <t>P</t>
        </is>
      </c>
      <c r="J17" s="4" t="inlineStr">
        <is>
          <t>串口日志</t>
        </is>
      </c>
    </row>
    <row r="18">
      <c r="A18" s="10" t="inlineStr">
        <is>
          <t>TC-015</t>
        </is>
      </c>
      <c r="B18" s="10" t="inlineStr">
        <is>
          <t>FR-06/07</t>
        </is>
      </c>
      <c r="C18" s="10" t="inlineStr">
        <is>
          <t>系统</t>
        </is>
      </c>
      <c r="D18" s="10" t="inlineStr">
        <is>
          <t>2026-10-26</t>
        </is>
      </c>
      <c r="E18" s="10" t="inlineStr">
        <is>
          <t>P4</t>
        </is>
      </c>
      <c r="F18" s="4" t="inlineStr">
        <is>
          <t>仪表板查看实时状态与历史查询</t>
        </is>
      </c>
      <c r="G18" s="4" t="inlineStr">
        <is>
          <t>显示值与数据库记录一致</t>
        </is>
      </c>
      <c r="H18" s="4" t="inlineStr">
        <is>
          <t>累计 2346 条记录，曲线与库内数据一致</t>
        </is>
      </c>
      <c r="I18" s="10" t="inlineStr">
        <is>
          <t>P</t>
        </is>
      </c>
      <c r="J18" s="4" t="inlineStr">
        <is>
          <t>evidence/dashboard_*.png</t>
        </is>
      </c>
    </row>
    <row r="20">
      <c r="A20" s="2" t="inlineStr">
        <is>
          <t>判定列用 P（通过）/ F（失败）。本表 15 条用例全部通过；失败与遗留问题记录在 experiments/ 下的实验文档中。</t>
        </is>
      </c>
    </row>
  </sheetData>
  <autoFilter ref="A3:J18"/>
  <mergeCells count="2">
    <mergeCell ref="A1:J1"/>
    <mergeCell ref="A2:J2"/>
  </mergeCells>
  <dataValidations count="1">
    <dataValidation sqref="I4:I200" showDropDown="0" showInputMessage="0" showErrorMessage="0" allowBlank="1" type="list">
      <formula1>"P,F"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15" customWidth="1" min="2" max="2"/>
    <col width="26" customWidth="1" min="3" max="3"/>
    <col width="10" customWidth="1" min="4" max="4"/>
    <col width="11" customWidth="1" min="5" max="5"/>
    <col width="11" customWidth="1" min="6" max="6"/>
    <col width="11" customWidth="1" min="7" max="7"/>
    <col width="11" customWidth="1" min="8" max="8"/>
    <col width="12" customWidth="1" min="9" max="9"/>
    <col width="30" customWidth="1" min="10" max="10"/>
  </cols>
  <sheetData>
    <row r="1">
      <c r="A1" s="8" t="inlineStr">
        <is>
          <t>工况变化对照实验记录（全部为实测结果）</t>
        </is>
      </c>
    </row>
    <row r="2">
      <c r="A2" s="2" t="inlineStr">
        <is>
          <t>项目 8.1 振动状态监测器 · 受控文档台账　|　版本 V3.2　|　更新日期 2026-10-29　|　维护人：P1</t>
        </is>
      </c>
    </row>
    <row r="3">
      <c r="A3" s="9" t="inlineStr">
        <is>
          <t>试验编号</t>
        </is>
      </c>
      <c r="B3" s="9" t="inlineStr">
        <is>
          <t>工况</t>
        </is>
      </c>
      <c r="C3" s="9" t="inlineStr">
        <is>
          <t>施加参数</t>
        </is>
      </c>
      <c r="D3" s="9" t="inlineStr">
        <is>
          <t>转频 Hz</t>
        </is>
      </c>
      <c r="E3" s="9" t="inlineStr">
        <is>
          <t>1× 峰值 g</t>
        </is>
      </c>
      <c r="F3" s="9" t="inlineStr">
        <is>
          <t>振动 RMS g</t>
        </is>
      </c>
      <c r="G3" s="9" t="inlineStr">
        <is>
          <t>表面温度 ℃</t>
        </is>
      </c>
      <c r="H3" s="9" t="inlineStr">
        <is>
          <t>芯片温度 ℃</t>
        </is>
      </c>
      <c r="I3" s="9" t="inlineStr">
        <is>
          <t>系统判定</t>
        </is>
      </c>
      <c r="J3" s="9" t="inlineStr">
        <is>
          <t>备注 / 数据文件</t>
        </is>
      </c>
    </row>
    <row r="4">
      <c r="A4" s="10" t="inlineStr">
        <is>
          <t>EXP-001</t>
        </is>
      </c>
      <c r="B4" s="10" t="inlineStr">
        <is>
          <t>正常基线</t>
        </is>
      </c>
      <c r="C4" s="10" t="inlineStr">
        <is>
          <t>无配重，风扇正常运转</t>
        </is>
      </c>
      <c r="D4" s="10" t="n">
        <v>32.2</v>
      </c>
      <c r="E4" s="10" t="n">
        <v>0.0292</v>
      </c>
      <c r="F4" s="10" t="n">
        <v>0.0574</v>
      </c>
      <c r="G4" s="10" t="n">
        <v>24.05</v>
      </c>
      <c r="H4" s="10" t="n">
        <v>25.6</v>
      </c>
      <c r="I4" s="10" t="inlineStr">
        <is>
          <t>正常</t>
        </is>
      </c>
      <c r="J4" s="4" t="inlineStr">
        <is>
          <t>基线 μ=0.0574 g；experiments/2026-10-26</t>
        </is>
      </c>
    </row>
    <row r="5">
      <c r="A5" s="10" t="inlineStr">
        <is>
          <t>EXP-002</t>
        </is>
      </c>
      <c r="B5" s="10" t="inlineStr">
        <is>
          <t>转子不平衡</t>
        </is>
      </c>
      <c r="C5" s="10" t="inlineStr">
        <is>
          <t>配重 0.35 g（单片扇叶，r ≈ 35 mm）</t>
        </is>
      </c>
      <c r="D5" s="10" t="n">
        <v>33.2</v>
      </c>
      <c r="E5" s="10" t="n">
        <v>1.6605</v>
      </c>
      <c r="F5" s="10" t="n">
        <v>1.4723</v>
      </c>
      <c r="G5" s="10" t="n">
        <v>24.05</v>
      </c>
      <c r="H5" s="10" t="n">
        <v>25.7</v>
      </c>
      <c r="I5" s="10" t="inlineStr">
        <is>
          <t>报警</t>
        </is>
      </c>
      <c r="J5" s="4" t="inlineStr">
        <is>
          <t>RMS 上升 25.7 倍；谐波同步抬升</t>
        </is>
      </c>
    </row>
    <row r="6">
      <c r="A6" s="10" t="inlineStr">
        <is>
          <t>EXP-003</t>
        </is>
      </c>
      <c r="B6" s="10" t="inlineStr">
        <is>
          <t>转子不平衡</t>
        </is>
      </c>
      <c r="C6" s="10" t="inlineStr">
        <is>
          <t>配重 0.70 g（同上位置）</t>
        </is>
      </c>
      <c r="D6" s="10" t="n">
        <v>31.2</v>
      </c>
      <c r="E6" s="10" t="n">
        <v>2.8015</v>
      </c>
      <c r="F6" s="10" t="n">
        <v>2.6816</v>
      </c>
      <c r="G6" s="10" t="n">
        <v>24.05</v>
      </c>
      <c r="H6" s="10" t="n">
        <v>25.7</v>
      </c>
      <c r="I6" s="10" t="inlineStr">
        <is>
          <t>报警</t>
        </is>
      </c>
      <c r="J6" s="4" t="inlineStr">
        <is>
          <t>RMS 上升 46.7 倍；接近 ±4 g 量程上限</t>
        </is>
      </c>
    </row>
    <row r="7">
      <c r="A7" s="10" t="inlineStr">
        <is>
          <t>EXP-004</t>
        </is>
      </c>
      <c r="B7" s="10" t="inlineStr">
        <is>
          <t>风道堵塞</t>
        </is>
      </c>
      <c r="C7" s="10" t="inlineStr">
        <is>
          <t>遮挡进风面 50 %，稳定 5 min</t>
        </is>
      </c>
      <c r="D7" s="10" t="n">
        <v>34.2</v>
      </c>
      <c r="E7" s="10" t="n">
        <v>0.0487</v>
      </c>
      <c r="F7" s="10" t="n">
        <v>0.0589</v>
      </c>
      <c r="G7" s="10" t="n">
        <v>24.67</v>
      </c>
      <c r="H7" s="10" t="inlineStr">
        <is>
          <t>—</t>
        </is>
      </c>
      <c r="I7" s="10" t="inlineStr">
        <is>
          <t>正常</t>
        </is>
      </c>
      <c r="J7" s="4" t="inlineStr">
        <is>
          <t>温度 +0.62 ℃、RMS −32 %（特征反向）</t>
        </is>
      </c>
    </row>
    <row r="8">
      <c r="A8" s="10" t="inlineStr">
        <is>
          <t>EXP-005</t>
        </is>
      </c>
      <c r="B8" s="10" t="inlineStr">
        <is>
          <t>风道堵塞</t>
        </is>
      </c>
      <c r="C8" s="10" t="inlineStr">
        <is>
          <t>遮挡进风面 80 %，稳定 5 min</t>
        </is>
      </c>
      <c r="D8" s="10" t="n">
        <v>31.5</v>
      </c>
      <c r="E8" s="10" t="n">
        <v>0.0242</v>
      </c>
      <c r="F8" s="10" t="n">
        <v>0.0605</v>
      </c>
      <c r="G8" s="10" t="n">
        <v>24.85</v>
      </c>
      <c r="H8" s="10" t="inlineStr">
        <is>
          <t>—</t>
        </is>
      </c>
      <c r="I8" s="10" t="inlineStr">
        <is>
          <t>正常</t>
        </is>
      </c>
      <c r="J8" s="4" t="inlineStr">
        <is>
          <t>温度 +0.80 ℃、1× 峰值 −69 %、转频 −8.7 %</t>
        </is>
      </c>
    </row>
    <row r="9">
      <c r="A9" s="10" t="inlineStr">
        <is>
          <t>EXP-006</t>
        </is>
      </c>
      <c r="B9" s="10" t="inlineStr">
        <is>
          <t>支撑松动</t>
        </is>
      </c>
      <c r="C9" s="10" t="inlineStr">
        <is>
          <t>风扇自由放置于桌面（未固定）</t>
        </is>
      </c>
      <c r="D9" s="10" t="n">
        <v>35.2</v>
      </c>
      <c r="E9" s="10" t="n">
        <v>0.079</v>
      </c>
      <c r="F9" s="10" t="n">
        <v>0.2068</v>
      </c>
      <c r="G9" s="10" t="inlineStr">
        <is>
          <t>—</t>
        </is>
      </c>
      <c r="H9" s="10" t="inlineStr">
        <is>
          <t>—</t>
        </is>
      </c>
      <c r="I9" s="10" t="inlineStr">
        <is>
          <t>正常</t>
        </is>
      </c>
      <c r="J9" s="4" t="inlineStr">
        <is>
          <t>峰值/RMS=0.38，数据不可信；experiments/2026-10-27</t>
        </is>
      </c>
    </row>
    <row r="10">
      <c r="A10" s="10" t="inlineStr">
        <is>
          <t>EXP-007</t>
        </is>
      </c>
      <c r="B10" s="10" t="inlineStr">
        <is>
          <t>支撑恢复</t>
        </is>
      </c>
      <c r="C10" s="10" t="inlineStr">
        <is>
          <t>按压/固定风扇底座后复测</t>
        </is>
      </c>
      <c r="D10" s="10" t="n">
        <v>35.2</v>
      </c>
      <c r="E10" s="10" t="n">
        <v>0.047</v>
      </c>
      <c r="F10" s="10" t="n">
        <v>0.0556</v>
      </c>
      <c r="G10" s="10" t="inlineStr">
        <is>
          <t>—</t>
        </is>
      </c>
      <c r="H10" s="10" t="inlineStr">
        <is>
          <t>—</t>
        </is>
      </c>
      <c r="I10" s="10" t="inlineStr">
        <is>
          <t>正常</t>
        </is>
      </c>
      <c r="J10" s="4" t="inlineStr">
        <is>
          <t>峰值/RMS=0.85，恢复到历史稳定水平</t>
        </is>
      </c>
    </row>
    <row r="12">
      <c r="A12" s="2" t="inlineStr">
        <is>
          <t>所有工况均在「同一次装配内连续完成」，避免跨会话的耦合状态变化。结论：转子不平衡的特征是振动大幅上升、温度基本不变；风道堵塞的特征是温度上升而振动下降，两者方向相反，故需双通道才能区分。</t>
        </is>
      </c>
    </row>
  </sheetData>
  <autoFilter ref="A3:J10"/>
  <mergeCells count="2">
    <mergeCell ref="A1:J1"/>
    <mergeCell ref="A2:J2"/>
  </mergeCells>
  <dataValidations count="1">
    <dataValidation sqref="I4:I200" showDropDown="0" showInputMessage="0" showErrorMessage="0" allowBlank="1" type="list">
      <formula1>"正常,注意,报警,瞬态"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4" customWidth="1" min="4" max="4"/>
    <col width="64" customWidth="1" min="5" max="5"/>
  </cols>
  <sheetData>
    <row r="1">
      <c r="A1" s="8" t="inlineStr">
        <is>
          <t>受控文档变更记录</t>
        </is>
      </c>
    </row>
    <row r="2">
      <c r="A2" s="2" t="inlineStr">
        <is>
          <t>项目 8.1 振动状态监测器 · 受控文档台账　|　版本 V3.2　|　更新日期 2026-10-29　|　维护人：P1</t>
        </is>
      </c>
    </row>
    <row r="3">
      <c r="A3" s="9" t="inlineStr">
        <is>
          <t>版本</t>
        </is>
      </c>
      <c r="B3" s="9" t="inlineStr">
        <is>
          <t>日期</t>
        </is>
      </c>
      <c r="C3" s="9" t="inlineStr">
        <is>
          <t>变更人</t>
        </is>
      </c>
      <c r="D3" s="9" t="inlineStr">
        <is>
          <t>变更类型</t>
        </is>
      </c>
      <c r="E3" s="9" t="inlineStr">
        <is>
          <t>变更说明与影响范围</t>
        </is>
      </c>
    </row>
    <row r="4">
      <c r="A4" s="10" t="inlineStr">
        <is>
          <t>V1.0</t>
        </is>
      </c>
      <c r="B4" s="10" t="inlineStr">
        <is>
          <t>2026-10-29</t>
        </is>
      </c>
      <c r="C4" s="10" t="inlineStr">
        <is>
          <t>P1</t>
        </is>
      </c>
      <c r="D4" s="10" t="inlineStr">
        <is>
          <t>首次发布</t>
        </is>
      </c>
      <c r="E4" s="4" t="inlineStr">
        <is>
          <t>建立需求与验收、物料清单、风险登记册、责任矩阵、十二周计划与测试记录模板</t>
        </is>
      </c>
    </row>
    <row r="5">
      <c r="A5" s="10" t="inlineStr">
        <is>
          <t>V1.1</t>
        </is>
      </c>
      <c r="B5" s="10" t="inlineStr">
        <is>
          <t>2026-10-29</t>
        </is>
      </c>
      <c r="C5" s="10" t="inlineStr">
        <is>
          <t>P1</t>
        </is>
      </c>
      <c r="D5" s="10" t="inlineStr">
        <is>
          <t>设计变更</t>
        </is>
      </c>
      <c r="E5" s="4" t="inlineStr">
        <is>
          <t>新增 ESP32 单板方案的物料清单与需求变更清单</t>
        </is>
      </c>
    </row>
    <row r="6">
      <c r="A6" s="10" t="inlineStr">
        <is>
          <t>V2.0</t>
        </is>
      </c>
      <c r="B6" s="10" t="inlineStr">
        <is>
          <t>2026-10-29</t>
        </is>
      </c>
      <c r="C6" s="10" t="inlineStr">
        <is>
          <t>P1</t>
        </is>
      </c>
      <c r="D6" s="10" t="inlineStr">
        <is>
          <t>设计变更</t>
        </is>
      </c>
      <c r="E6" s="4" t="inlineStr">
        <is>
          <t>全面改为 ESP32 单板方案：11 项 FR / 8 项 NFR / 12 条 AC；物料 25 项含耗材（¥211）</t>
        </is>
      </c>
    </row>
    <row r="7">
      <c r="A7" s="10" t="inlineStr">
        <is>
          <t>V3.2</t>
        </is>
      </c>
      <c r="B7" s="10" t="inlineStr">
        <is>
          <t>2026-10-29</t>
        </is>
      </c>
      <c r="C7" s="10" t="inlineStr">
        <is>
          <t>P1</t>
        </is>
      </c>
      <c r="D7" s="10" t="inlineStr">
        <is>
          <t>采购定稿（最终清单）</t>
        </is>
      </c>
      <c r="E7" s="4" t="inlineStr">
        <is>
          <t>物料清单更新为最终采购清单：ESP32 ¥23×2、MPU6050 ¥13.5、DS18B20 ¥8.5、SD 卡座 ¥2.3、联想 32G 卡 ¥35.9、蜂鸣器 ¥1.5、5V 9225 风扇 ¥4.8、数据线 ¥2.2、USB 转杜邦线 ¥4.8；杜邦线与面包板由学校提供。取消 12 V 升压线与 KF301 端子。实际支出 ¥119.50</t>
        </is>
      </c>
    </row>
    <row r="8">
      <c r="A8" s="10" t="inlineStr">
        <is>
          <t>V3.1</t>
        </is>
      </c>
      <c r="B8" s="10" t="inlineStr">
        <is>
          <t>2026-10-29</t>
        </is>
      </c>
      <c r="C8" s="10" t="inlineStr">
        <is>
          <t>P1</t>
        </is>
      </c>
      <c r="D8" s="10" t="inlineStr">
        <is>
          <t>采购落实（台账保持更新）</t>
        </is>
      </c>
      <c r="E8" s="4" t="inlineStr">
        <is>
          <t>物料清单改为“参考价 / 实际价”双列并登记真实采购价与商家备注；确认面包板与母-公杜邦线为自有、外壳与配重自备；删除 KF301 端子（DS18B20 自带端子、风扇用升压线直插、电源分配用面包板）；成本口径由“估价值”更新为“实际采购价 ¥119.50”</t>
        </is>
      </c>
    </row>
    <row r="9">
      <c r="A9" s="10" t="inlineStr">
        <is>
          <t>V3.0</t>
        </is>
      </c>
      <c r="B9" s="10" t="inlineStr">
        <is>
          <t>2026-10-29</t>
        </is>
      </c>
      <c r="C9" s="10" t="inlineStr">
        <is>
          <t>P1</t>
        </is>
      </c>
      <c r="D9" s="10" t="inlineStr">
        <is>
          <t>设计冻结（响应工艺与供应约束）</t>
        </is>
      </c>
      <c r="E9" s="4" t="inlineStr">
        <is>
          <t>以提高集成度、减少外接元件为目标重构：① 振动传感器由 ADXL345（SPI，3.2 kSPS）改为 MPU6050（I²C，1 kSPS，含板载温度），采样率与帧长改为 1 kSPS / 1024 点；② 取消独立 LED 模块与按键，改用板载 LED 与 BOOT 键；③ 12 V 风机 + 适配器改为 5 V USB 风扇，电源复用现有 USB 充电器；④ 取消全部耗材类外接件；新增 NFR-08、AC-13 与 R-06（到货排针状态核验）；⑤ 器件规格与数量按实际采购更新。影响范围：物料清单、需求与验收、风险登记册、测试与实验记录模板、两份主文档</t>
        </is>
      </c>
    </row>
    <row r="11">
      <c r="A11" s="2" t="inlineStr">
        <is>
          <t>变更类型：首次发布 / 需求变更 / 设计变更 / 计划调整 / 勘误。需求变更须同步更新“1-需求与验收”与两份主文档。</t>
        </is>
      </c>
    </row>
  </sheetData>
  <autoFilter ref="A3:E9"/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2026-10-29T11:10:51Z</dcterms:created>
  <dcterms:modified xmlns:dcterms="http://purl.org/dc/terms/" xmlns:xsi="http://www.w3.org/2001/XMLSchema-instance" xsi:type="dcterms:W3CDTF">2026-10-29T11:10:52Z</dcterms:modified>
</cp:coreProperties>
</file>