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-文档控制" sheetId="1" state="visible" r:id="rId3"/>
    <sheet name="1-需求与验收" sheetId="2" state="visible" r:id="rId4"/>
    <sheet name="2-BOM物料清单" sheetId="3" state="visible" r:id="rId5"/>
    <sheet name="2B-简化方案BOM" sheetId="4" state="visible" r:id="rId6"/>
    <sheet name="3-风险登记册" sheetId="5" state="visible" r:id="rId7"/>
    <sheet name="4-责任矩阵" sheetId="6" state="visible" r:id="rId8"/>
    <sheet name="5-十二周计划" sheetId="7" state="visible" r:id="rId9"/>
    <sheet name="6-测试记录" sheetId="8" state="visible" r:id="rId10"/>
    <sheet name="7-工况实验记录" sheetId="9" state="visible" r:id="rId11"/>
    <sheet name="9-方案B需求变更" sheetId="10" state="visible" r:id="rId12"/>
    <sheet name="8-变更记录" sheetId="11" state="visible" r:id="rId13"/>
  </sheets>
  <definedNames>
    <definedName function="false" hidden="true" localSheetId="1" name="_xlnm._FilterDatabase" vbProcedure="false">'1-需求与验收'!$A$3:$G$41</definedName>
    <definedName function="false" hidden="true" localSheetId="2" name="_xlnm._FilterDatabase" vbProcedure="false">'2-BOM物料清单'!$A$3:$H$16</definedName>
    <definedName function="false" hidden="true" localSheetId="3" name="_xlnm._FilterDatabase" vbProcedure="false">'2B-简化方案BOM'!$A$3:$F$28</definedName>
    <definedName function="false" hidden="true" localSheetId="4" name="_xlnm._FilterDatabase" vbProcedure="false">'3-风险登记册'!$A$3:$J$15</definedName>
    <definedName function="false" hidden="true" localSheetId="5" name="_xlnm._FilterDatabase" vbProcedure="false">'4-责任矩阵'!$A$3:$E$12</definedName>
    <definedName function="false" hidden="true" localSheetId="6" name="_xlnm._FilterDatabase" vbProcedure="false">'5-十二周计划'!$A$3:$G$17</definedName>
    <definedName function="false" hidden="true" localSheetId="7" name="_xlnm._FilterDatabase" vbProcedure="false">'6-测试记录'!$A$3:$J$6</definedName>
    <definedName function="false" hidden="true" localSheetId="8" name="_xlnm._FilterDatabase" vbProcedure="false">'7-工况实验记录'!$A$3:$K$9</definedName>
    <definedName function="false" hidden="true" localSheetId="10" name="_xlnm._FilterDatabase" vbProcedure="false">'8-变更记录'!$A$3:$E$5</definedName>
    <definedName function="false" hidden="true" localSheetId="9" name="_xlnm._FilterDatabase" vbProcedure="false">'9-方案B需求变更'!$A$3:$E$15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<sst xmlns="http://schemas.openxmlformats.org/spreadsheetml/2006/main" count="841" uniqueCount="514">
  <si>
    <t xml:space="preserve">项目 8.1 振动状态监测器 · 受控文档台账</t>
  </si>
  <si>
    <t xml:space="preserve">利莫瑞克大学 × LICHPU　工业评估（15 ECTS）· 智慧校园生活实验室 · 主题 8</t>
  </si>
  <si>
    <t xml:space="preserve">文件名</t>
  </si>
  <si>
    <t xml:space="preserve">8.1_受控文档台账_需求_BOM_风险_计划.xlsx</t>
  </si>
  <si>
    <t xml:space="preserve">版本</t>
  </si>
  <si>
    <t xml:space="preserve">V1.1</t>
  </si>
  <si>
    <t xml:space="preserve">更新日期</t>
  </si>
  <si>
    <t xml:space="preserve">2026-10-13</t>
  </si>
  <si>
    <t xml:space="preserve">对应关口</t>
  </si>
  <si>
    <t xml:space="preserve">第 2 周 需求关口 / 第 3 周 设计关口</t>
  </si>
  <si>
    <t xml:space="preserve">关联主文档</t>
  </si>
  <si>
    <t xml:space="preserve">8.1_振动状态监测器_项目提案与需求规格说明.docx（方案 A，完整版）
8.1_振动状态监测器_方案B实施手册.docx（方案 B 实施手册）</t>
  </si>
  <si>
    <t xml:space="preserve">维护责任人</t>
  </si>
  <si>
    <t xml:space="preserve">P1 项目/客户协调员（风险登记册与计划）；P4 测试/验证（测试记录）</t>
  </si>
  <si>
    <t xml:space="preserve">变更规则</t>
  </si>
  <si>
    <t xml:space="preserve">任一工作表的字段增删须在“8-变更记录”中登记，并由 P1 更新版本号</t>
  </si>
  <si>
    <t xml:space="preserve">评审节奏</t>
  </si>
  <si>
    <t xml:space="preserve">每周例会复核一次；关口前 2 天冻结并导出 PDF 归档</t>
  </si>
  <si>
    <t xml:space="preserve">方案说明</t>
  </si>
  <si>
    <t xml:space="preserve">2-BOM物料清单 对应方案 A；2B-简化方案BOM 对应方案 B。两版均满足手册硬性要求，选定其一后须按 9-方案B需求变更 同步修订需求</t>
  </si>
  <si>
    <t xml:space="preserve">工作表一览</t>
  </si>
  <si>
    <t xml:space="preserve">1-需求与验收</t>
  </si>
  <si>
    <t xml:space="preserve">14 项功能性需求、10 项非功能性需求、14 条验收标准及追溯关系（方案 A）</t>
  </si>
  <si>
    <t xml:space="preserve">2-BOM物料清单</t>
  </si>
  <si>
    <t xml:space="preserve">方案 A 双地价格与合计公式，用于成本核算（AC-13）</t>
  </si>
  <si>
    <t xml:space="preserve">2B-简化方案BOM</t>
  </si>
  <si>
    <t xml:space="preserve">方案 B 物料与耗材清单（主要器件 + 耗材 + 备件，含公式）</t>
  </si>
  <si>
    <t xml:space="preserve">3-风险登记册</t>
  </si>
  <si>
    <t xml:space="preserve">12 项风险，等级由概率×影响自动计算</t>
  </si>
  <si>
    <t xml:space="preserve">4-责任矩阵</t>
  </si>
  <si>
    <t xml:space="preserve">9 项交付物 × 4 个角色的 R/S/C/I 分工</t>
  </si>
  <si>
    <t xml:space="preserve">5-十二周计划</t>
  </si>
  <si>
    <t xml:space="preserve">任务、起止周、责任人、交付物与关口</t>
  </si>
  <si>
    <t xml:space="preserve">6-测试记录</t>
  </si>
  <si>
    <t xml:space="preserve">测试执行记录模板（对应评估组成 D）</t>
  </si>
  <si>
    <t xml:space="preserve">7-工况实验记录</t>
  </si>
  <si>
    <t xml:space="preserve">工况变化对照实验的数据记录模板</t>
  </si>
  <si>
    <t xml:space="preserve">8-变更记录</t>
  </si>
  <si>
    <t xml:space="preserve">受控文档的版本变更登记</t>
  </si>
  <si>
    <t xml:space="preserve">9-方案B需求变更</t>
  </si>
  <si>
    <t xml:space="preserve">采用方案 B 时对方案 A 需求与验收标准的修订清单</t>
  </si>
  <si>
    <t xml:space="preserve">需求与验收标准（含追溯关系）</t>
  </si>
  <si>
    <t xml:space="preserve">项目 8.1 振动状态监测器 · 受控文档台账　|　版本 V1.1　|　更新日期 2026-10-13　|　维护人：P1</t>
  </si>
  <si>
    <t xml:space="preserve">编号</t>
  </si>
  <si>
    <t xml:space="preserve">类别</t>
  </si>
  <si>
    <t xml:space="preserve">需求 / 判据描述</t>
  </si>
  <si>
    <t xml:space="preserve">优先级</t>
  </si>
  <si>
    <t xml:space="preserve">追溯对象</t>
  </si>
  <si>
    <t xml:space="preserve">验证方法</t>
  </si>
  <si>
    <t xml:space="preserve">证据周次</t>
  </si>
  <si>
    <t xml:space="preserve">FR-01</t>
  </si>
  <si>
    <t xml:space="preserve">功能</t>
  </si>
  <si>
    <t xml:space="preserve">系统应至少采集 3 路有意义的物理量：振动加速度、表面温度、转速</t>
  </si>
  <si>
    <t xml:space="preserve">M</t>
  </si>
  <si>
    <t xml:space="preserve">AC-01/04/05</t>
  </si>
  <si>
    <t xml:space="preserve">单元+集成</t>
  </si>
  <si>
    <t xml:space="preserve">第4周</t>
  </si>
  <si>
    <t xml:space="preserve">FR-02</t>
  </si>
  <si>
    <t xml:space="preserve">振动采样率 ≥ 3.2 kSPS，帧长 ≥ 2048 点且可配置</t>
  </si>
  <si>
    <t xml:space="preserve">AC-01</t>
  </si>
  <si>
    <t xml:space="preserve">单元</t>
  </si>
  <si>
    <t xml:space="preserve">FR-03</t>
  </si>
  <si>
    <t xml:space="preserve">计算时域特征：RMS、峰值、峰值因子、峭度、速度有效值</t>
  </si>
  <si>
    <t xml:space="preserve">AC-03</t>
  </si>
  <si>
    <t xml:space="preserve">单元+系统</t>
  </si>
  <si>
    <t xml:space="preserve">第5周</t>
  </si>
  <si>
    <t xml:space="preserve">FR-04</t>
  </si>
  <si>
    <t xml:space="preserve">完成 2048 点 FFT 并给出 1× 与叶频（BPF）等阶次幅值</t>
  </si>
  <si>
    <t xml:space="preserve">AC-02/06</t>
  </si>
  <si>
    <t xml:space="preserve">FR-05</t>
  </si>
  <si>
    <t xml:space="preserve">通过转速实现阶次归一化与转速分档</t>
  </si>
  <si>
    <t xml:space="preserve">AC-06</t>
  </si>
  <si>
    <t xml:space="preserve">系统</t>
  </si>
  <si>
    <t xml:space="preserve">第6周</t>
  </si>
  <si>
    <t xml:space="preserve">FR-06</t>
  </si>
  <si>
    <t xml:space="preserve">支持基线自学习并给出偏离度（z 分数）</t>
  </si>
  <si>
    <t xml:space="preserve">AC-07/08</t>
  </si>
  <si>
    <t xml:space="preserve">第7周</t>
  </si>
  <si>
    <t xml:space="preserve">FR-07</t>
  </si>
  <si>
    <t xml:space="preserve">输出“正常/注意/报警”三级状态与维护建议文本</t>
  </si>
  <si>
    <t xml:space="preserve">系统+验证</t>
  </si>
  <si>
    <t xml:space="preserve">第8周</t>
  </si>
  <si>
    <t xml:space="preserve">FR-08</t>
  </si>
  <si>
    <t xml:space="preserve">通过 MQTT 上报特征值与事件，周期 ≤ 10 s，事件即时</t>
  </si>
  <si>
    <t xml:space="preserve">AC-09</t>
  </si>
  <si>
    <t xml:space="preserve">集成</t>
  </si>
  <si>
    <t xml:space="preserve">FR-09</t>
  </si>
  <si>
    <t xml:space="preserve">断网时本地缓存，恢复后补传，不丢数据</t>
  </si>
  <si>
    <t xml:space="preserve">S</t>
  </si>
  <si>
    <t xml:space="preserve">AC-11</t>
  </si>
  <si>
    <t xml:space="preserve">第10周</t>
  </si>
  <si>
    <t xml:space="preserve">FR-10</t>
  </si>
  <si>
    <t xml:space="preserve">提供中英双语仪表板，含实时值、历史趋势与频谱</t>
  </si>
  <si>
    <t xml:space="preserve">AC-12</t>
  </si>
  <si>
    <t xml:space="preserve">用户评估</t>
  </si>
  <si>
    <t xml:space="preserve">第9周</t>
  </si>
  <si>
    <t xml:space="preserve">FR-11</t>
  </si>
  <si>
    <t xml:space="preserve">提供本地指示（OLED + 声光），无网络时仍可判读状态</t>
  </si>
  <si>
    <t xml:space="preserve">FR-12</t>
  </si>
  <si>
    <t xml:space="preserve">记录报警事件（含触发指标与时间戳）并可导出</t>
  </si>
  <si>
    <t xml:space="preserve">FR-13</t>
  </si>
  <si>
    <t xml:space="preserve">支持远程下发阈值与请求基线重学</t>
  </si>
  <si>
    <t xml:space="preserve">C</t>
  </si>
  <si>
    <t xml:space="preserve">—</t>
  </si>
  <si>
    <t xml:space="preserve">FR-14</t>
  </si>
  <si>
    <t xml:space="preserve">给出数据质量标志（转速是否稳定、传感器是否在线）</t>
  </si>
  <si>
    <t xml:space="preserve">AC-08</t>
  </si>
  <si>
    <t xml:space="preserve">NFR-01</t>
  </si>
  <si>
    <t xml:space="preserve">非功能</t>
  </si>
  <si>
    <t xml:space="preserve">全部电路 ≤ 24 V DC，不接触市电；转动部件加防护罩</t>
  </si>
  <si>
    <t xml:space="preserve">走查</t>
  </si>
  <si>
    <t xml:space="preserve">第3周</t>
  </si>
  <si>
    <t xml:space="preserve">NFR-02</t>
  </si>
  <si>
    <t xml:space="preserve">不使用摄像头/麦克风，不采集任何可识别个人的数据</t>
  </si>
  <si>
    <t xml:space="preserve">NFR-03</t>
  </si>
  <si>
    <t xml:space="preserve">连续运行 ≥ 72 h 无重启，看门狗、掉电恢复、断网自愈</t>
  </si>
  <si>
    <t xml:space="preserve">AC-10</t>
  </si>
  <si>
    <t xml:space="preserve">NFR-04</t>
  </si>
  <si>
    <t xml:space="preserve">传感器可现场更换免重编译，基线可一键重学</t>
  </si>
  <si>
    <t xml:space="preserve">NFR-05</t>
  </si>
  <si>
    <t xml:space="preserve">单节点 ≤ ¥400（中国采购）/ ≤ €150（爱尔兰本地采购）</t>
  </si>
  <si>
    <t xml:space="preserve">AC-13</t>
  </si>
  <si>
    <t xml:space="preserve">核算</t>
  </si>
  <si>
    <t xml:space="preserve">NFR-06</t>
  </si>
  <si>
    <t xml:space="preserve">仪表板中英双语；状态用文字+图标+颜色三重编码；字号可调</t>
  </si>
  <si>
    <t xml:space="preserve">NFR-07</t>
  </si>
  <si>
    <t xml:space="preserve">数据模型带版本号并有文档，可被第三方订阅复用</t>
  </si>
  <si>
    <t xml:space="preserve">AC-14</t>
  </si>
  <si>
    <t xml:space="preserve">NFR-08</t>
  </si>
  <si>
    <t xml:space="preserve">单节点平均带宽 &lt; 10 kbps，仅用校园 2.4 GHz Wi-Fi</t>
  </si>
  <si>
    <t xml:space="preserve">NFR-09</t>
  </si>
  <si>
    <t xml:space="preserve">外壳 ≥ IP54，工作温度 0 ~ 50 ℃</t>
  </si>
  <si>
    <t xml:space="preserve">NFR-10</t>
  </si>
  <si>
    <t xml:space="preserve">数据最小化、限域存储、保留期 ≤ 4 周（GDPR/PIPL 一致）</t>
  </si>
  <si>
    <t xml:space="preserve">验收</t>
  </si>
  <si>
    <t xml:space="preserve">振动采样率误差 ≤ 0.5 %</t>
  </si>
  <si>
    <t xml:space="preserve">定时器计数法</t>
  </si>
  <si>
    <t xml:space="preserve">AC-02</t>
  </si>
  <si>
    <t xml:space="preserve">频谱频率误差 ≤ 1 % 或 ≤ Δf</t>
  </si>
  <si>
    <t xml:space="preserve">信号源注入 20/100/500/1000 Hz</t>
  </si>
  <si>
    <t xml:space="preserve">幅值相对偏差 ≤ 10 %</t>
  </si>
  <si>
    <t xml:space="preserve">与手持测振仪同点比对</t>
  </si>
  <si>
    <t xml:space="preserve">AC-04</t>
  </si>
  <si>
    <t xml:space="preserve">温度准确度 ± 0.5 ℃（0~85 ℃）</t>
  </si>
  <si>
    <t xml:space="preserve">冰水浴/恒温水浴比对</t>
  </si>
  <si>
    <t xml:space="preserve">AC-05</t>
  </si>
  <si>
    <t xml:space="preserve">转速误差 ≤ 1 %</t>
  </si>
  <si>
    <t xml:space="preserve">与手持转速表比对 5 个转速点</t>
  </si>
  <si>
    <t xml:space="preserve">1× 与叶频可辨识，频率误差 ≤ 1 %</t>
  </si>
  <si>
    <t xml:space="preserve">FR-04/05</t>
  </si>
  <si>
    <t xml:space="preserve">已知叶片数风机叶频验证</t>
  </si>
  <si>
    <t xml:space="preserve">AC-07</t>
  </si>
  <si>
    <t xml:space="preserve">3 类工况变化至少 2 类在 60 s 内检出并分级正确</t>
  </si>
  <si>
    <t xml:space="preserve">不平衡/松动/风道遮挡对照实验</t>
  </si>
  <si>
    <t xml:space="preserve">正常工况连续 2 h 内假阳性 ≤ 1 次</t>
  </si>
  <si>
    <t xml:space="preserve">FR-06/14</t>
  </si>
  <si>
    <t xml:space="preserve">正常工况长时运行</t>
  </si>
  <si>
    <t xml:space="preserve">报警端到端延迟 ≤ 5 s</t>
  </si>
  <si>
    <t xml:space="preserve">注入越限信号并计时</t>
  </si>
  <si>
    <t xml:space="preserve">连续运行 ≥ 72 h 无重启，数据丢失率 ≤ 1 %</t>
  </si>
  <si>
    <t xml:space="preserve">不间断运行并统计记录条数</t>
  </si>
  <si>
    <t xml:space="preserve">网络恢复 ≤ 30 s 内自动重连并补传</t>
  </si>
  <si>
    <t xml:space="preserve">FR-09/11</t>
  </si>
  <si>
    <t xml:space="preserve">拔插网线测试</t>
  </si>
  <si>
    <t xml:space="preserve">仪表板刷新 ≤ 5 s；历史可查 ≥ 4 周</t>
  </si>
  <si>
    <t xml:space="preserve">FR-10/12</t>
  </si>
  <si>
    <t xml:space="preserve">走查 + 数据库查询</t>
  </si>
  <si>
    <t xml:space="preserve">单节点成本 ≤ ¥400 / ≤ €150</t>
  </si>
  <si>
    <t xml:space="preserve">物料清单核算</t>
  </si>
  <si>
    <t xml:space="preserve">给出双地采购、环境与部署差异清单</t>
  </si>
  <si>
    <t xml:space="preserve">对照检查表</t>
  </si>
  <si>
    <t xml:space="preserve">优先级：M 必须 / S 应该 / C 可以。验收标准均须附测量记录，证据归档到 Git 仓库 /evidence 目录。</t>
  </si>
  <si>
    <t xml:space="preserve">物料清单与双地成本（含税，不含运费）</t>
  </si>
  <si>
    <t xml:space="preserve">#</t>
  </si>
  <si>
    <t xml:space="preserve">物料</t>
  </si>
  <si>
    <t xml:space="preserve">规格 / 说明</t>
  </si>
  <si>
    <t xml:space="preserve">单位</t>
  </si>
  <si>
    <t xml:space="preserve">数量</t>
  </si>
  <si>
    <t xml:space="preserve">单价 ¥</t>
  </si>
  <si>
    <t xml:space="preserve">单价 €</t>
  </si>
  <si>
    <t xml:space="preserve">备注</t>
  </si>
  <si>
    <t xml:space="preserve">1</t>
  </si>
  <si>
    <t xml:space="preserve">主控板</t>
  </si>
  <si>
    <t xml:space="preserve">STM32F407VET6 核心板（或 Nucleo-F407）</t>
  </si>
  <si>
    <t xml:space="preserve">个</t>
  </si>
  <si>
    <t xml:space="preserve">关键件，双供应商</t>
  </si>
  <si>
    <t xml:space="preserve">2</t>
  </si>
  <si>
    <t xml:space="preserve">振动传感器</t>
  </si>
  <si>
    <t xml:space="preserve">ADXL345 模块（SPI）</t>
  </si>
  <si>
    <t xml:space="preserve">可用 ICM-42688-P 升级</t>
  </si>
  <si>
    <t xml:space="preserve">3</t>
  </si>
  <si>
    <t xml:space="preserve">温度传感器</t>
  </si>
  <si>
    <t xml:space="preserve">DS18B20 防水探头</t>
  </si>
  <si>
    <t xml:space="preserve">4</t>
  </si>
  <si>
    <t xml:space="preserve">转速传感器</t>
  </si>
  <si>
    <t xml:space="preserve">反射式光电 / 霍尔 + 磁钢</t>
  </si>
  <si>
    <t xml:space="preserve">两种方案任选</t>
  </si>
  <si>
    <t xml:space="preserve">5</t>
  </si>
  <si>
    <t xml:space="preserve">无线模块</t>
  </si>
  <si>
    <t xml:space="preserve">ESP8266-01S（或 ESP32）</t>
  </si>
  <si>
    <t xml:space="preserve">6</t>
  </si>
  <si>
    <t xml:space="preserve">显示</t>
  </si>
  <si>
    <t xml:space="preserve">OLED 0.96″ SSD1306 I²C</t>
  </si>
  <si>
    <t xml:space="preserve">7</t>
  </si>
  <si>
    <t xml:space="preserve">存储</t>
  </si>
  <si>
    <t xml:space="preserve">microSD 卡座 + 8 GB 卡</t>
  </si>
  <si>
    <t xml:space="preserve">套</t>
  </si>
  <si>
    <t xml:space="preserve">8</t>
  </si>
  <si>
    <t xml:space="preserve">供电</t>
  </si>
  <si>
    <t xml:space="preserve">2000 mAh 锂电 + TP4056 + 保护板</t>
  </si>
  <si>
    <t xml:space="preserve">注意航空运输限制</t>
  </si>
  <si>
    <t xml:space="preserve">9</t>
  </si>
  <si>
    <t xml:space="preserve">演示设备</t>
  </si>
  <si>
    <t xml:space="preserve">12 V/24 V 直流风机或电机 + 调速</t>
  </si>
  <si>
    <t xml:space="preserve">安全低压</t>
  </si>
  <si>
    <t xml:space="preserve">10</t>
  </si>
  <si>
    <t xml:space="preserve">台架材料</t>
  </si>
  <si>
    <t xml:space="preserve">铝型材/木板、配重块、紧固件</t>
  </si>
  <si>
    <t xml:space="preserve">11</t>
  </si>
  <si>
    <t xml:space="preserve">外壳与线缆</t>
  </si>
  <si>
    <t xml:space="preserve">IP54 防水盒、接插件、屏蔽线</t>
  </si>
  <si>
    <t xml:space="preserve">12</t>
  </si>
  <si>
    <t xml:space="preserve">电源适配器</t>
  </si>
  <si>
    <t xml:space="preserve">12 V/2 A（CCC / CE 认证）</t>
  </si>
  <si>
    <t xml:space="preserve">两地各配认证型号</t>
  </si>
  <si>
    <t xml:space="preserve">13</t>
  </si>
  <si>
    <t xml:space="preserve">杂项</t>
  </si>
  <si>
    <t xml:space="preserve">洞洞板/PCB、标签、备件</t>
  </si>
  <si>
    <t xml:space="preserve">合计（单节点）</t>
  </si>
  <si>
    <t xml:space="preserve">对照验收标准 AC-13：中国口径 ≤ ¥400 达成；爱尔兰本地采购约 €143，需按提案第 10 章的三种路径降本。</t>
  </si>
  <si>
    <t xml:space="preserve">方案 B（实施手册）物料与耗材清单</t>
  </si>
  <si>
    <t xml:space="preserve">物料 / 规格</t>
  </si>
  <si>
    <t xml:space="preserve">小计 ¥</t>
  </si>
  <si>
    <t xml:space="preserve">主要器件</t>
  </si>
  <si>
    <t xml:space="preserve">ESP32-WROOM-32 开发板（含 USB 线）</t>
  </si>
  <si>
    <t xml:space="preserve">ADXL345 模块（SPI / I²C，3.3 V）</t>
  </si>
  <si>
    <t xml:space="preserve">DS18B20 防水探头（1-Wire，带线）</t>
  </si>
  <si>
    <t xml:space="preserve">microSD 卡座模块（SPI，3.3 V）</t>
  </si>
  <si>
    <t xml:space="preserve">microSD 8 GB Class10</t>
  </si>
  <si>
    <t xml:space="preserve">RGB LED 模块（或三色 LED + 电阻）</t>
  </si>
  <si>
    <t xml:space="preserve">有源蜂鸣器 5 V（带驱动板）</t>
  </si>
  <si>
    <t xml:space="preserve">12×12 轻触按键（带帽）</t>
  </si>
  <si>
    <t xml:space="preserve">电子耗材</t>
  </si>
  <si>
    <t xml:space="preserve">杜邦线（母-母 40 + 公-母 20）</t>
  </si>
  <si>
    <t xml:space="preserve">单芯导线 0.5 mm²，红黑各 3 m</t>
  </si>
  <si>
    <t xml:space="preserve">洞洞板 5×7 cm 双面镀锡</t>
  </si>
  <si>
    <t xml:space="preserve">排针 / 排母 2.54 mm 混装</t>
  </si>
  <si>
    <t xml:space="preserve">焊锡丝 0.6 mm（实验室常备）</t>
  </si>
  <si>
    <t xml:space="preserve">14</t>
  </si>
  <si>
    <t xml:space="preserve">助焊剂 / 吸锡带（实验室常备）</t>
  </si>
  <si>
    <t xml:space="preserve">15</t>
  </si>
  <si>
    <t xml:space="preserve">热缩管 2/3/5 mm 混装（实验室常备）</t>
  </si>
  <si>
    <t xml:space="preserve">16</t>
  </si>
  <si>
    <t xml:space="preserve">尼龙扎带与魔术贴</t>
  </si>
  <si>
    <t xml:space="preserve">17</t>
  </si>
  <si>
    <t xml:space="preserve">结构台架</t>
  </si>
  <si>
    <t xml:space="preserve">塑料接线盒 100×68×50 mm</t>
  </si>
  <si>
    <t xml:space="preserve">18</t>
  </si>
  <si>
    <t xml:space="preserve">底板：木板或铝条 200×100×10 mm</t>
  </si>
  <si>
    <t xml:space="preserve">19</t>
  </si>
  <si>
    <t xml:space="preserve">M3 螺丝螺母垫片混装盒（实验室常备）</t>
  </si>
  <si>
    <t xml:space="preserve">20</t>
  </si>
  <si>
    <t xml:space="preserve">M3 弹簧防松垫圈（实验室常备）</t>
  </si>
  <si>
    <t xml:space="preserve">21</t>
  </si>
  <si>
    <t xml:space="preserve">反光标记：白色标签纸 / 反光贴</t>
  </si>
  <si>
    <t xml:space="preserve">22</t>
  </si>
  <si>
    <t xml:space="preserve">配重件 5 g / 10 g（可用硬币螺母代替）</t>
  </si>
  <si>
    <t xml:space="preserve">23</t>
  </si>
  <si>
    <t xml:space="preserve">热熔胶棒与双面胶（实验室常备）</t>
  </si>
  <si>
    <t xml:space="preserve">24</t>
  </si>
  <si>
    <t xml:space="preserve">12 V 直流风机（机箱风扇 80/120 mm）</t>
  </si>
  <si>
    <t xml:space="preserve">25</t>
  </si>
  <si>
    <t xml:space="preserve">12 V / 1 A 电源适配器（供风机）</t>
  </si>
  <si>
    <t xml:space="preserve">小计（主要器件 ¥72 + 电子耗材 ¥57 + 结构与台架 ¥82）</t>
  </si>
  <si>
    <t xml:space="preserve">备件与损耗（按 10 % 计，建议备一块 ESP32）</t>
  </si>
  <si>
    <t xml:space="preserve">合计（含备件）</t>
  </si>
  <si>
    <t xml:space="preserve">若焊接耗材与标准件由实验室提供（第 13~16、19、20、23 项）</t>
  </si>
  <si>
    <t xml:space="preserve">口径说明：上一版报出的 ¥155 中，“外壳与线材 / 台架材料 / 杂项”三行是打包估算（合计 ¥45）。本版展开为 15 个具体耗材条目，耗材由 ¥45 增至 ¥139，器件部分基本不变（¥70 → ¥72）。建议按 ¥211 编列预算。</t>
  </si>
  <si>
    <t xml:space="preserve">风险登记册（等级 = 概率 × 影响，自动计算）</t>
  </si>
  <si>
    <t xml:space="preserve">ID</t>
  </si>
  <si>
    <t xml:space="preserve">风险描述</t>
  </si>
  <si>
    <t xml:space="preserve">概率 P</t>
  </si>
  <si>
    <t xml:space="preserve">影响 I</t>
  </si>
  <si>
    <t xml:space="preserve">等级</t>
  </si>
  <si>
    <t xml:space="preserve">应对措施</t>
  </si>
  <si>
    <t xml:space="preserve">责任人</t>
  </si>
  <si>
    <t xml:space="preserve">触发条件</t>
  </si>
  <si>
    <t xml:space="preserve">状态</t>
  </si>
  <si>
    <t xml:space="preserve">R-01</t>
  </si>
  <si>
    <t xml:space="preserve">传感器安装共振导致高频幅值失真</t>
  </si>
  <si>
    <t xml:space="preserve">技术</t>
  </si>
  <si>
    <t xml:space="preserve">螺栓/粘接刚性安装，标定记录安装方式并做频响修正</t>
  </si>
  <si>
    <t xml:space="preserve">P2</t>
  </si>
  <si>
    <t xml:space="preserve">不平时幅值异常偏大</t>
  </si>
  <si>
    <t xml:space="preserve">开放</t>
  </si>
  <si>
    <t xml:space="preserve">R-02</t>
  </si>
  <si>
    <t xml:space="preserve">实验室无标准振动台，无法绝对溯源标定</t>
  </si>
  <si>
    <t xml:space="preserve">资源</t>
  </si>
  <si>
    <t xml:space="preserve">重力翻转静态标定 + 手持测振仪比对 + 报告不确定度</t>
  </si>
  <si>
    <t xml:space="preserve">P4</t>
  </si>
  <si>
    <t xml:space="preserve">第7周仍未获振动台</t>
  </si>
  <si>
    <t xml:space="preserve">R-03</t>
  </si>
  <si>
    <t xml:space="preserve">Wi-Fi 覆盖不足或丢包</t>
  </si>
  <si>
    <t xml:space="preserve">基础设施</t>
  </si>
  <si>
    <t xml:space="preserve">本地 SD 先存后传；必要时用手机热点/有线回传</t>
  </si>
  <si>
    <t xml:space="preserve">P3</t>
  </si>
  <si>
    <t xml:space="preserve">连续丢包 &gt; 1 %</t>
  </si>
  <si>
    <t xml:space="preserve">R-04</t>
  </si>
  <si>
    <t xml:space="preserve">台架转速过低，特征频率接近直流</t>
  </si>
  <si>
    <t xml:space="preserve">选用 ≥ 1000 r/min 风机；必要时 N=4096 提升分辨率</t>
  </si>
  <si>
    <t xml:space="preserve">1× 频率 &lt; 15 Hz</t>
  </si>
  <si>
    <t xml:space="preserve">R-05</t>
  </si>
  <si>
    <t xml:space="preserve">误报降低演示可信度</t>
  </si>
  <si>
    <t xml:space="preserve">基线自学习 + 迟滞 + 稳态门控；先离线回放调参再上线</t>
  </si>
  <si>
    <t xml:space="preserve">2 h 内假阳性 &gt; 1 次</t>
  </si>
  <si>
    <t xml:space="preserve">R-06</t>
  </si>
  <si>
    <t xml:space="preserve">器件进口周期长或缺货</t>
  </si>
  <si>
    <t xml:space="preserve">采购</t>
  </si>
  <si>
    <t xml:space="preserve">提前 2 周下单；保留引脚兼容替代；关键件双供应商</t>
  </si>
  <si>
    <t xml:space="preserve">交期 &gt; 10 天</t>
  </si>
  <si>
    <t xml:space="preserve">R-07</t>
  </si>
  <si>
    <t xml:space="preserve">涉及市电引发安全与审批问题</t>
  </si>
  <si>
    <t xml:space="preserve">安全</t>
  </si>
  <si>
    <t xml:space="preserve">全程 ≤ 24 V DC；如需现场取电另行申请批准</t>
  </si>
  <si>
    <t xml:space="preserve">P1</t>
  </si>
  <si>
    <t xml:space="preserve">需接入运行设备</t>
  </si>
  <si>
    <t xml:space="preserve">R-08</t>
  </si>
  <si>
    <t xml:space="preserve">隐私或伦理争议</t>
  </si>
  <si>
    <t xml:space="preserve">合规</t>
  </si>
  <si>
    <t xml:space="preserve">无摄像头、无个人数据；仅采集设备物理量</t>
  </si>
  <si>
    <t xml:space="preserve">方案被要求增加成像</t>
  </si>
  <si>
    <t xml:space="preserve">R-09</t>
  </si>
  <si>
    <t xml:space="preserve">团队时间冲突（其他模块考核）</t>
  </si>
  <si>
    <t xml:space="preserve">项目</t>
  </si>
  <si>
    <t xml:space="preserve">周会 + WBS 分解到人；关键路径任务提前一周启动</t>
  </si>
  <si>
    <t xml:space="preserve">连续两周延期</t>
  </si>
  <si>
    <t xml:space="preserve">R-10</t>
  </si>
  <si>
    <t xml:space="preserve">数据量增长导致存储写满</t>
  </si>
  <si>
    <t xml:space="preserve">特征值日粒度留存；原始数据仅事件保存；保留期 4 周</t>
  </si>
  <si>
    <t xml:space="preserve">SD 占用 &gt; 80 %</t>
  </si>
  <si>
    <t xml:space="preserve">R-11</t>
  </si>
  <si>
    <t xml:space="preserve">MQTT Broker 或服务器不可用</t>
  </si>
  <si>
    <t xml:space="preserve">本地闭环运行，Broker 故障不影响监测与本地报警</t>
  </si>
  <si>
    <t xml:space="preserve">Broker 掉线 &gt; 5 min</t>
  </si>
  <si>
    <t xml:space="preserve">R-12</t>
  </si>
  <si>
    <t xml:space="preserve">校准不确定度导致结论不可靠</t>
  </si>
  <si>
    <t xml:space="preserve">验证</t>
  </si>
  <si>
    <t xml:space="preserve">给出不确定度预算，结论附置信区间，避免过度断言</t>
  </si>
  <si>
    <t xml:space="preserve">同点重测偏差 &gt; 10 %</t>
  </si>
  <si>
    <t xml:space="preserve">概率/影响取值为 1（低）、2（中）、3（高）。等级 ≥ 6 需在周会上专项跟踪。</t>
  </si>
  <si>
    <t xml:space="preserve">责任矩阵（R 主责 / S 支持 / C 审核 / I 知会）</t>
  </si>
  <si>
    <t xml:space="preserve">交付物</t>
  </si>
  <si>
    <t xml:space="preserve">P1 项目/客户协调员</t>
  </si>
  <si>
    <t xml:space="preserve">P2 硬件/集成</t>
  </si>
  <si>
    <t xml:space="preserve">P3 软件/数据</t>
  </si>
  <si>
    <t xml:space="preserve">P4 测试/文档</t>
  </si>
  <si>
    <t xml:space="preserve">问题定义与需求规格</t>
  </si>
  <si>
    <t xml:space="preserve">R</t>
  </si>
  <si>
    <t xml:space="preserve">系统设计与选型</t>
  </si>
  <si>
    <t xml:space="preserve">硬件搭建与台架</t>
  </si>
  <si>
    <t xml:space="preserve">I</t>
  </si>
  <si>
    <t xml:space="preserve">固件与边缘算法</t>
  </si>
  <si>
    <t xml:space="preserve">通信与仪表板</t>
  </si>
  <si>
    <t xml:space="preserve">校准与测试计划</t>
  </si>
  <si>
    <t xml:space="preserve">验证实验执行与数据分析</t>
  </si>
  <si>
    <t xml:space="preserve">风险登记册与项目记录</t>
  </si>
  <si>
    <t xml:space="preserve">报告、演示与个人日志</t>
  </si>
  <si>
    <t xml:space="preserve">每位成员须同时具备一项主责（R）。中期评审时更新并随报告提交。</t>
  </si>
  <si>
    <t xml:space="preserve">十二周计划与关口</t>
  </si>
  <si>
    <t xml:space="preserve">任务</t>
  </si>
  <si>
    <t xml:space="preserve">起始周</t>
  </si>
  <si>
    <t xml:space="preserve">持续周</t>
  </si>
  <si>
    <t xml:space="preserve">关口</t>
  </si>
  <si>
    <t xml:space="preserve">问题定义与校园需求（客户访谈）</t>
  </si>
  <si>
    <t xml:space="preserve">问题陈述、利益相关者、地点、成功标准</t>
  </si>
  <si>
    <t xml:space="preserve">概念评审</t>
  </si>
  <si>
    <t xml:space="preserve">现有方案对标 · 需求与验收标准</t>
  </si>
  <si>
    <t xml:space="preserve">P1/P4</t>
  </si>
  <si>
    <t xml:space="preserve">对标分析、FR/NFR、验收标准</t>
  </si>
  <si>
    <t xml:space="preserve">需求关口</t>
  </si>
  <si>
    <t xml:space="preserve">伦理 / 隐私 / 安全筛查</t>
  </si>
  <si>
    <t xml:space="preserve">筛查表与结论</t>
  </si>
  <si>
    <t xml:space="preserve">系统设计与选型（框图 / BOM）</t>
  </si>
  <si>
    <t xml:space="preserve">P2/P3</t>
  </si>
  <si>
    <t xml:space="preserve">架构图、BOM、风险登记册</t>
  </si>
  <si>
    <t xml:space="preserve">设计关口</t>
  </si>
  <si>
    <t xml:space="preserve">硬件搭建：传感、供电、台架</t>
  </si>
  <si>
    <t xml:space="preserve">可运行硬件与台架</t>
  </si>
  <si>
    <t xml:space="preserve">进度评审 1</t>
  </si>
  <si>
    <t xml:space="preserve">固件：采集、特征、网关上报</t>
  </si>
  <si>
    <t xml:space="preserve">固件与单元测试记录</t>
  </si>
  <si>
    <t xml:space="preserve">集成原型 v1（端到端数据通路）</t>
  </si>
  <si>
    <t xml:space="preserve">P3/P2</t>
  </si>
  <si>
    <t xml:space="preserve">端到端演示</t>
  </si>
  <si>
    <t xml:space="preserve">原型检查点</t>
  </si>
  <si>
    <t xml:space="preserve">仪表板与告警逻辑</t>
  </si>
  <si>
    <t xml:space="preserve">P3/P4</t>
  </si>
  <si>
    <t xml:space="preserve">仪表板、告警规则</t>
  </si>
  <si>
    <t xml:space="preserve">中期评估</t>
  </si>
  <si>
    <t xml:space="preserve">校准（重力翻转 / 参考比对）</t>
  </si>
  <si>
    <t xml:space="preserve">校准报告与不确定度</t>
  </si>
  <si>
    <t xml:space="preserve">技术评审</t>
  </si>
  <si>
    <t xml:space="preserve">验证实验：3 类工况变化复现</t>
  </si>
  <si>
    <t xml:space="preserve">P4/P2</t>
  </si>
  <si>
    <t xml:space="preserve">实验数据集</t>
  </si>
  <si>
    <t xml:space="preserve">证据检查点</t>
  </si>
  <si>
    <t xml:space="preserve">数据分析与部署评估（含 SDG）</t>
  </si>
  <si>
    <t xml:space="preserve">P4/P1</t>
  </si>
  <si>
    <t xml:space="preserve">分析报告、复制性评估</t>
  </si>
  <si>
    <t xml:space="preserve">进度评审 2</t>
  </si>
  <si>
    <t xml:space="preserve">缺陷修复与设计冻结</t>
  </si>
  <si>
    <t xml:space="preserve">全员</t>
  </si>
  <si>
    <t xml:space="preserve">缺陷关闭清单、验收测试结果</t>
  </si>
  <si>
    <t xml:space="preserve">设计冻结</t>
  </si>
  <si>
    <t xml:space="preserve">报告、海报、演示准备</t>
  </si>
  <si>
    <t xml:space="preserve">报告草稿、幻灯片、仓库文档</t>
  </si>
  <si>
    <t xml:space="preserve">草案就绪</t>
  </si>
  <si>
    <t xml:space="preserve">最终评估：演示 + 汇报 + 答辩</t>
  </si>
  <si>
    <t xml:space="preserve">原型、报告、个人日志</t>
  </si>
  <si>
    <t xml:space="preserve">最终关口</t>
  </si>
  <si>
    <t xml:space="preserve">起始周/持续周与提案图 5（甘特图）一致；关口日期按附录 D 待模块负责人确认后填入。</t>
  </si>
  <si>
    <t xml:space="preserve">用例 ID</t>
  </si>
  <si>
    <t xml:space="preserve">关联需求</t>
  </si>
  <si>
    <t xml:space="preserve">测试层级</t>
  </si>
  <si>
    <t xml:space="preserve">测试日期</t>
  </si>
  <si>
    <t xml:space="preserve">执行人</t>
  </si>
  <si>
    <t xml:space="preserve">输入 / 条件</t>
  </si>
  <si>
    <t xml:space="preserve">期望结果</t>
  </si>
  <si>
    <t xml:space="preserve">实测结果</t>
  </si>
  <si>
    <t xml:space="preserve">判定(P/F)</t>
  </si>
  <si>
    <t xml:space="preserve">证据文件</t>
  </si>
  <si>
    <t xml:space="preserve">TC-001</t>
  </si>
  <si>
    <t xml:space="preserve">定时器自检方波 1 kHz</t>
  </si>
  <si>
    <t xml:space="preserve">1 s 内采样点数 3200±16</t>
  </si>
  <si>
    <t xml:space="preserve">evidence/tc-001.txt</t>
  </si>
  <si>
    <t xml:space="preserve">TC-002</t>
  </si>
  <si>
    <t xml:space="preserve">信号源 100 Hz / 1 g 正弦</t>
  </si>
  <si>
    <t xml:space="preserve">谱峰位于 100 Hz±1 %，幅值偏差 ≤5 %</t>
  </si>
  <si>
    <t xml:space="preserve">TC-003</t>
  </si>
  <si>
    <t xml:space="preserve">三路传感器同时接入</t>
  </si>
  <si>
    <t xml:space="preserve">三路数据均入库且时间戳对齐 ≤ 1 s</t>
  </si>
  <si>
    <t xml:space="preserve">判定列用 P（通过）/ F（失败）。失败用例须在问题跟踪中开 Issue 并关联提交哈希。</t>
  </si>
  <si>
    <t xml:space="preserve">工况变化对照实验记录模板（对应表 13 实验矩阵）</t>
  </si>
  <si>
    <t xml:space="preserve">试验编号</t>
  </si>
  <si>
    <t xml:space="preserve">工况</t>
  </si>
  <si>
    <t xml:space="preserve">施加参数</t>
  </si>
  <si>
    <t xml:space="preserve">转速 r/min</t>
  </si>
  <si>
    <t xml:space="preserve">环境温度 ℃</t>
  </si>
  <si>
    <t xml:space="preserve">振动 RMS g</t>
  </si>
  <si>
    <t xml:space="preserve">速度有效值 mm/s</t>
  </si>
  <si>
    <t xml:space="preserve">峭度</t>
  </si>
  <si>
    <t xml:space="preserve">表面温度 ℃</t>
  </si>
  <si>
    <t xml:space="preserve">系统判定</t>
  </si>
  <si>
    <t xml:space="preserve">备注 / 原始数据文件</t>
  </si>
  <si>
    <t xml:space="preserve">EXP-001</t>
  </si>
  <si>
    <t xml:space="preserve">正常基线</t>
  </si>
  <si>
    <t xml:space="preserve">EXP-002</t>
  </si>
  <si>
    <t xml:space="preserve">转子不平衡</t>
  </si>
  <si>
    <t xml:space="preserve">配重 2 g</t>
  </si>
  <si>
    <t xml:space="preserve">EXP-003</t>
  </si>
  <si>
    <t xml:space="preserve">配重 5 g</t>
  </si>
  <si>
    <t xml:space="preserve">EXP-004</t>
  </si>
  <si>
    <t xml:space="preserve">结构松动</t>
  </si>
  <si>
    <t xml:space="preserve">底座螺栓松 1/4 圈</t>
  </si>
  <si>
    <t xml:space="preserve">EXP-005</t>
  </si>
  <si>
    <t xml:space="preserve">负载变化</t>
  </si>
  <si>
    <t xml:space="preserve">风道遮挡 30 %</t>
  </si>
  <si>
    <t xml:space="preserve">EXP-006</t>
  </si>
  <si>
    <t xml:space="preserve">不同转速</t>
  </si>
  <si>
    <t xml:space="preserve">1 200 r/min</t>
  </si>
  <si>
    <t xml:space="preserve">每类工况按表 13 要求的次数重复；原始 2048 点数据单独存为二进制并记录文件名。</t>
  </si>
  <si>
    <t xml:space="preserve">变更类型</t>
  </si>
  <si>
    <t xml:space="preserve">变更后内容</t>
  </si>
  <si>
    <t xml:space="preserve">理由</t>
  </si>
  <si>
    <t xml:space="preserve">影响的工作表</t>
  </si>
  <si>
    <t xml:space="preserve">修订</t>
  </si>
  <si>
    <t xml:space="preserve">由“至少 3 路输入”改为“振动 + 温度两路输入”</t>
  </si>
  <si>
    <t xml:space="preserve">手册下限为两路；减少接线与固件复杂度</t>
  </si>
  <si>
    <t xml:space="preserve">删除</t>
  </si>
  <si>
    <t xml:space="preserve">不再要求阶次归一化与转速分档</t>
  </si>
  <si>
    <t xml:space="preserve">无转速传感器</t>
  </si>
  <si>
    <t xml:space="preserve">收窄</t>
  </si>
  <si>
    <t xml:space="preserve">保留 RMS、峰值、速度有效值；峭度与峰值因子可选</t>
  </si>
  <si>
    <t xml:space="preserve">降低算法代码量</t>
  </si>
  <si>
    <t xml:space="preserve">偏离度由多指标 z 分数改为振动 RMS 的 μ + kσ 判据</t>
  </si>
  <si>
    <t xml:space="preserve">单基线逻辑更直观、易调试、易解释</t>
  </si>
  <si>
    <t xml:space="preserve">本地指示由 OLED + 声光改为 RGB LED + 蜂鸣器</t>
  </si>
  <si>
    <t xml:space="preserve">去掉显示驱动与多页界面逻辑</t>
  </si>
  <si>
    <t xml:space="preserve">保留</t>
  </si>
  <si>
    <t xml:space="preserve">远程阈值下发与基线重学（Node-RED 侧实现）</t>
  </si>
  <si>
    <t xml:space="preserve">实现成本低，保留</t>
  </si>
  <si>
    <t xml:space="preserve">单节点成本上限由 ≤ ¥400 改为 ≤ ¥250（含耗材）</t>
  </si>
  <si>
    <t xml:space="preserve">实施手册实测 ¥211（含耗材）/ ¥232（含备件）</t>
  </si>
  <si>
    <t xml:space="preserve">删除转速测量准确度验收项</t>
  </si>
  <si>
    <t xml:space="preserve">随 FR-05 删除</t>
  </si>
  <si>
    <t xml:space="preserve">删除阶次识别能力验收项</t>
  </si>
  <si>
    <t xml:space="preserve">3 类工况变化中至少 2 类在 60 s 内检出并分级正确</t>
  </si>
  <si>
    <t xml:space="preserve">核心验证目标不变</t>
  </si>
  <si>
    <t xml:space="preserve">单节点成本判据改为 ≤ ¥200</t>
  </si>
  <si>
    <t xml:space="preserve">与 NFR-05 一致</t>
  </si>
  <si>
    <t xml:space="preserve">新增</t>
  </si>
  <si>
    <t xml:space="preserve">服务端改为 Node-RED 单进程 + SQLite，不采购服务器</t>
  </si>
  <si>
    <t xml:space="preserve">零硬件成本；节点侧 microSD 保证历史不依赖服务端在线</t>
  </si>
  <si>
    <t xml:space="preserve">本清单经需求关口确认后生效；未列出的条目一律沿用方案 A。变更须同步登记至“8-变更记录”。</t>
  </si>
  <si>
    <t xml:space="preserve">受控文档变更记录</t>
  </si>
  <si>
    <t xml:space="preserve">日期</t>
  </si>
  <si>
    <t xml:space="preserve">变更人</t>
  </si>
  <si>
    <t xml:space="preserve">变更说明与影响范围</t>
  </si>
  <si>
    <t xml:space="preserve">V1.0</t>
  </si>
  <si>
    <t xml:space="preserve">首次发布</t>
  </si>
  <si>
    <t xml:space="preserve">建立需求与验收、BOM、风险登记册、责任矩阵、十二周计划与测试记录模板</t>
  </si>
  <si>
    <t xml:space="preserve">设计变更</t>
  </si>
  <si>
    <t xml:space="preserve">新增“2B-简化方案BOM”（ESP32 单板方案，含耗材 ¥211）与“9-方案B需求变更”；0-文档控制 增列关联文件与方案说明。影响范围：成本核算口径、FR-01/FR-05/FR-06/FR-11/FR-13、NFR-05、AC-05/AC-06/AC-13</t>
  </si>
  <si>
    <t xml:space="preserve">变更类型：首次发布 / 需求变更 / 设计变更 / 计划调整 / 勘误。需求变更须同步更新“1-需求与验收”与主文档。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</si>
</sst>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63"/>
      <name val="微软雅黑"/>
      <family val="0"/>
      <charset val="1"/>
    </font>
    <font>
      <sz val="9"/>
      <color rgb="FF808080"/>
      <name val="微软雅黑"/>
      <family val="0"/>
      <charset val="1"/>
    </font>
    <font>
      <b val="true"/>
      <sz val="9.5"/>
      <name val="微软雅黑"/>
      <family val="0"/>
      <charset val="1"/>
    </font>
    <font>
      <sz val="9.5"/>
      <name val="微软雅黑"/>
      <family val="0"/>
      <charset val="1"/>
    </font>
    <font>
      <b val="true"/>
      <sz val="11"/>
      <color rgb="FF1F3B63"/>
      <name val="微软雅黑"/>
      <family val="0"/>
      <charset val="1"/>
    </font>
    <font>
      <b val="true"/>
      <sz val="13"/>
      <color rgb="FF1F3B63"/>
      <name val="微软雅黑"/>
      <family val="0"/>
      <charset val="1"/>
    </font>
    <font>
      <b val="true"/>
      <sz val="10"/>
      <color rgb="FFFFFFFF"/>
      <name val="微软雅黑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1F4E79"/>
        <bgColor rgb="FF1F3B6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63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6"/>
  </cols>
  <sheetData>
    <row r="1" customFormat="false" ht="20.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27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27" hidden="false" customHeight="false" outlineLevel="0" collapsed="false">
      <c r="A12" s="3" t="s">
        <v>18</v>
      </c>
      <c r="B12" s="4" t="s">
        <v>19</v>
      </c>
    </row>
    <row r="15" customFormat="false" ht="15" hidden="false" customHeight="false" outlineLevel="0" collapsed="false">
      <c r="A15" s="5" t="s">
        <v>20</v>
      </c>
    </row>
    <row r="16" customFormat="false" ht="14.5" hidden="false" customHeight="false" outlineLevel="0" collapsed="false">
      <c r="A16" s="6" t="s">
        <v>21</v>
      </c>
      <c r="B16" s="7" t="s">
        <v>22</v>
      </c>
    </row>
    <row r="17" customFormat="false" ht="14.5" hidden="false" customHeight="false" outlineLevel="0" collapsed="false">
      <c r="A17" s="6" t="s">
        <v>23</v>
      </c>
      <c r="B17" s="7" t="s">
        <v>24</v>
      </c>
    </row>
    <row r="18" customFormat="false" ht="14.5" hidden="false" customHeight="false" outlineLevel="0" collapsed="false">
      <c r="A18" s="6" t="s">
        <v>25</v>
      </c>
      <c r="B18" s="7" t="s">
        <v>26</v>
      </c>
    </row>
    <row r="19" customFormat="false" ht="14.5" hidden="false" customHeight="false" outlineLevel="0" collapsed="false">
      <c r="A19" s="6" t="s">
        <v>27</v>
      </c>
      <c r="B19" s="7" t="s">
        <v>28</v>
      </c>
    </row>
    <row r="20" customFormat="false" ht="14.5" hidden="false" customHeight="false" outlineLevel="0" collapsed="false">
      <c r="A20" s="6" t="s">
        <v>29</v>
      </c>
      <c r="B20" s="7" t="s">
        <v>30</v>
      </c>
    </row>
    <row r="21" customFormat="false" ht="15" hidden="false" customHeight="false" outlineLevel="0" collapsed="false">
      <c r="A21" s="6" t="s">
        <v>31</v>
      </c>
      <c r="B21" s="7" t="s">
        <v>32</v>
      </c>
    </row>
    <row r="22" customFormat="false" ht="14.5" hidden="false" customHeight="false" outlineLevel="0" collapsed="false">
      <c r="A22" s="6" t="s">
        <v>33</v>
      </c>
      <c r="B22" s="7" t="s">
        <v>34</v>
      </c>
    </row>
    <row r="23" customFormat="false" ht="15" hidden="false" customHeight="false" outlineLevel="0" collapsed="false">
      <c r="A23" s="6" t="s">
        <v>35</v>
      </c>
      <c r="B23" s="7" t="s">
        <v>36</v>
      </c>
    </row>
    <row r="24" customFormat="false" ht="15" hidden="false" customHeight="false" outlineLevel="0" collapsed="false">
      <c r="A24" s="6" t="s">
        <v>37</v>
      </c>
      <c r="B24" s="7" t="s">
        <v>38</v>
      </c>
    </row>
    <row r="25" customFormat="false" ht="14.5" hidden="false" customHeight="false" outlineLevel="0" collapsed="false">
      <c r="A25" s="6" t="s">
        <v>39</v>
      </c>
      <c r="B25" s="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62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7" min="7" style="0" width="9"/>
  </cols>
  <sheetData>
    <row r="1" customFormat="false" ht="16.15" hidden="false" customHeight="false" outlineLevel="0" collapsed="false">
      <c r="A1" s="8" t="s">
        <v>41</v>
      </c>
      <c r="B1" s="8"/>
      <c r="C1" s="8"/>
      <c r="D1" s="8"/>
      <c r="E1" s="8"/>
      <c r="F1" s="8"/>
      <c r="G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</row>
    <row r="3" customFormat="false" ht="15" hidden="false" customHeight="false" outlineLevel="0" collapsed="false">
      <c r="A3" s="10" t="s">
        <v>43</v>
      </c>
      <c r="B3" s="10" t="s">
        <v>44</v>
      </c>
      <c r="C3" s="10" t="s">
        <v>45</v>
      </c>
      <c r="D3" s="10" t="s">
        <v>46</v>
      </c>
      <c r="E3" s="10" t="s">
        <v>47</v>
      </c>
      <c r="F3" s="10" t="s">
        <v>48</v>
      </c>
      <c r="G3" s="10" t="s">
        <v>49</v>
      </c>
    </row>
    <row r="4" customFormat="false" ht="15" hidden="false" customHeight="false" outlineLevel="0" collapsed="false">
      <c r="A4" s="11" t="s">
        <v>50</v>
      </c>
      <c r="B4" s="11" t="s">
        <v>51</v>
      </c>
      <c r="C4" s="4" t="s">
        <v>52</v>
      </c>
      <c r="D4" s="11" t="s">
        <v>53</v>
      </c>
      <c r="E4" s="11" t="s">
        <v>54</v>
      </c>
      <c r="F4" s="11" t="s">
        <v>55</v>
      </c>
      <c r="G4" s="11" t="s">
        <v>56</v>
      </c>
    </row>
    <row r="5" customFormat="false" ht="15" hidden="false" customHeight="false" outlineLevel="0" collapsed="false">
      <c r="A5" s="11" t="s">
        <v>57</v>
      </c>
      <c r="B5" s="11" t="s">
        <v>51</v>
      </c>
      <c r="C5" s="4" t="s">
        <v>58</v>
      </c>
      <c r="D5" s="11" t="s">
        <v>53</v>
      </c>
      <c r="E5" s="11" t="s">
        <v>59</v>
      </c>
      <c r="F5" s="11" t="s">
        <v>60</v>
      </c>
      <c r="G5" s="11" t="s">
        <v>56</v>
      </c>
    </row>
    <row r="6" customFormat="false" ht="15" hidden="false" customHeight="false" outlineLevel="0" collapsed="false">
      <c r="A6" s="11" t="s">
        <v>61</v>
      </c>
      <c r="B6" s="11" t="s">
        <v>51</v>
      </c>
      <c r="C6" s="4" t="s">
        <v>62</v>
      </c>
      <c r="D6" s="11" t="s">
        <v>53</v>
      </c>
      <c r="E6" s="11" t="s">
        <v>63</v>
      </c>
      <c r="F6" s="11" t="s">
        <v>64</v>
      </c>
      <c r="G6" s="11" t="s">
        <v>65</v>
      </c>
    </row>
    <row r="7" customFormat="false" ht="15" hidden="false" customHeight="false" outlineLevel="0" collapsed="false">
      <c r="A7" s="11" t="s">
        <v>66</v>
      </c>
      <c r="B7" s="11" t="s">
        <v>51</v>
      </c>
      <c r="C7" s="4" t="s">
        <v>67</v>
      </c>
      <c r="D7" s="11" t="s">
        <v>53</v>
      </c>
      <c r="E7" s="11" t="s">
        <v>68</v>
      </c>
      <c r="F7" s="11" t="s">
        <v>60</v>
      </c>
      <c r="G7" s="11" t="s">
        <v>65</v>
      </c>
    </row>
    <row r="8" customFormat="false" ht="15" hidden="false" customHeight="false" outlineLevel="0" collapsed="false">
      <c r="A8" s="11" t="s">
        <v>69</v>
      </c>
      <c r="B8" s="11" t="s">
        <v>51</v>
      </c>
      <c r="C8" s="4" t="s">
        <v>70</v>
      </c>
      <c r="D8" s="11" t="s">
        <v>53</v>
      </c>
      <c r="E8" s="11" t="s">
        <v>71</v>
      </c>
      <c r="F8" s="11" t="s">
        <v>72</v>
      </c>
      <c r="G8" s="11" t="s">
        <v>73</v>
      </c>
    </row>
    <row r="9" customFormat="false" ht="15" hidden="false" customHeight="false" outlineLevel="0" collapsed="false">
      <c r="A9" s="11" t="s">
        <v>74</v>
      </c>
      <c r="B9" s="11" t="s">
        <v>51</v>
      </c>
      <c r="C9" s="4" t="s">
        <v>75</v>
      </c>
      <c r="D9" s="11" t="s">
        <v>53</v>
      </c>
      <c r="E9" s="11" t="s">
        <v>76</v>
      </c>
      <c r="F9" s="11" t="s">
        <v>72</v>
      </c>
      <c r="G9" s="11" t="s">
        <v>77</v>
      </c>
    </row>
    <row r="10" customFormat="false" ht="15" hidden="false" customHeight="false" outlineLevel="0" collapsed="false">
      <c r="A10" s="11" t="s">
        <v>78</v>
      </c>
      <c r="B10" s="11" t="s">
        <v>51</v>
      </c>
      <c r="C10" s="4" t="s">
        <v>79</v>
      </c>
      <c r="D10" s="11" t="s">
        <v>53</v>
      </c>
      <c r="E10" s="11" t="s">
        <v>76</v>
      </c>
      <c r="F10" s="11" t="s">
        <v>80</v>
      </c>
      <c r="G10" s="11" t="s">
        <v>81</v>
      </c>
    </row>
    <row r="11" customFormat="false" ht="15" hidden="false" customHeight="false" outlineLevel="0" collapsed="false">
      <c r="A11" s="11" t="s">
        <v>82</v>
      </c>
      <c r="B11" s="11" t="s">
        <v>51</v>
      </c>
      <c r="C11" s="4" t="s">
        <v>83</v>
      </c>
      <c r="D11" s="11" t="s">
        <v>53</v>
      </c>
      <c r="E11" s="11" t="s">
        <v>84</v>
      </c>
      <c r="F11" s="11" t="s">
        <v>85</v>
      </c>
      <c r="G11" s="11" t="s">
        <v>65</v>
      </c>
    </row>
    <row r="12" customFormat="false" ht="15" hidden="false" customHeight="false" outlineLevel="0" collapsed="false">
      <c r="A12" s="11" t="s">
        <v>86</v>
      </c>
      <c r="B12" s="11" t="s">
        <v>51</v>
      </c>
      <c r="C12" s="4" t="s">
        <v>87</v>
      </c>
      <c r="D12" s="11" t="s">
        <v>88</v>
      </c>
      <c r="E12" s="11" t="s">
        <v>89</v>
      </c>
      <c r="F12" s="11" t="s">
        <v>72</v>
      </c>
      <c r="G12" s="11" t="s">
        <v>90</v>
      </c>
    </row>
    <row r="13" customFormat="false" ht="15" hidden="false" customHeight="false" outlineLevel="0" collapsed="false">
      <c r="A13" s="11" t="s">
        <v>91</v>
      </c>
      <c r="B13" s="11" t="s">
        <v>51</v>
      </c>
      <c r="C13" s="4" t="s">
        <v>92</v>
      </c>
      <c r="D13" s="11" t="s">
        <v>53</v>
      </c>
      <c r="E13" s="11" t="s">
        <v>93</v>
      </c>
      <c r="F13" s="11" t="s">
        <v>94</v>
      </c>
      <c r="G13" s="11" t="s">
        <v>95</v>
      </c>
    </row>
    <row r="14" customFormat="false" ht="15" hidden="false" customHeight="false" outlineLevel="0" collapsed="false">
      <c r="A14" s="11" t="s">
        <v>96</v>
      </c>
      <c r="B14" s="11" t="s">
        <v>51</v>
      </c>
      <c r="C14" s="4" t="s">
        <v>97</v>
      </c>
      <c r="D14" s="11" t="s">
        <v>88</v>
      </c>
      <c r="E14" s="11" t="s">
        <v>89</v>
      </c>
      <c r="F14" s="11" t="s">
        <v>72</v>
      </c>
      <c r="G14" s="11" t="s">
        <v>90</v>
      </c>
    </row>
    <row r="15" customFormat="false" ht="15" hidden="false" customHeight="false" outlineLevel="0" collapsed="false">
      <c r="A15" s="11" t="s">
        <v>98</v>
      </c>
      <c r="B15" s="11" t="s">
        <v>51</v>
      </c>
      <c r="C15" s="4" t="s">
        <v>99</v>
      </c>
      <c r="D15" s="11" t="s">
        <v>88</v>
      </c>
      <c r="E15" s="11" t="s">
        <v>93</v>
      </c>
      <c r="F15" s="11" t="s">
        <v>72</v>
      </c>
      <c r="G15" s="11" t="s">
        <v>95</v>
      </c>
    </row>
    <row r="16" customFormat="false" ht="15" hidden="false" customHeight="false" outlineLevel="0" collapsed="false">
      <c r="A16" s="11" t="s">
        <v>100</v>
      </c>
      <c r="B16" s="11" t="s">
        <v>51</v>
      </c>
      <c r="C16" s="4" t="s">
        <v>101</v>
      </c>
      <c r="D16" s="11" t="s">
        <v>102</v>
      </c>
      <c r="E16" s="11" t="s">
        <v>103</v>
      </c>
      <c r="F16" s="11" t="s">
        <v>85</v>
      </c>
      <c r="G16" s="11" t="s">
        <v>90</v>
      </c>
    </row>
    <row r="17" customFormat="false" ht="15" hidden="false" customHeight="false" outlineLevel="0" collapsed="false">
      <c r="A17" s="11" t="s">
        <v>104</v>
      </c>
      <c r="B17" s="11" t="s">
        <v>51</v>
      </c>
      <c r="C17" s="4" t="s">
        <v>105</v>
      </c>
      <c r="D17" s="11" t="s">
        <v>88</v>
      </c>
      <c r="E17" s="11" t="s">
        <v>106</v>
      </c>
      <c r="F17" s="11" t="s">
        <v>72</v>
      </c>
      <c r="G17" s="11" t="s">
        <v>90</v>
      </c>
    </row>
    <row r="18" customFormat="false" ht="15" hidden="false" customHeight="false" outlineLevel="0" collapsed="false">
      <c r="A18" s="11" t="s">
        <v>107</v>
      </c>
      <c r="B18" s="11" t="s">
        <v>108</v>
      </c>
      <c r="C18" s="4" t="s">
        <v>109</v>
      </c>
      <c r="D18" s="11" t="s">
        <v>53</v>
      </c>
      <c r="E18" s="11" t="s">
        <v>103</v>
      </c>
      <c r="F18" s="11" t="s">
        <v>110</v>
      </c>
      <c r="G18" s="11" t="s">
        <v>111</v>
      </c>
    </row>
    <row r="19" customFormat="false" ht="15" hidden="false" customHeight="false" outlineLevel="0" collapsed="false">
      <c r="A19" s="11" t="s">
        <v>112</v>
      </c>
      <c r="B19" s="11" t="s">
        <v>108</v>
      </c>
      <c r="C19" s="4" t="s">
        <v>113</v>
      </c>
      <c r="D19" s="11" t="s">
        <v>53</v>
      </c>
      <c r="E19" s="11" t="s">
        <v>103</v>
      </c>
      <c r="F19" s="11" t="s">
        <v>110</v>
      </c>
      <c r="G19" s="11" t="s">
        <v>111</v>
      </c>
    </row>
    <row r="20" customFormat="false" ht="15" hidden="false" customHeight="false" outlineLevel="0" collapsed="false">
      <c r="A20" s="11" t="s">
        <v>114</v>
      </c>
      <c r="B20" s="11" t="s">
        <v>108</v>
      </c>
      <c r="C20" s="4" t="s">
        <v>115</v>
      </c>
      <c r="D20" s="11" t="s">
        <v>53</v>
      </c>
      <c r="E20" s="11" t="s">
        <v>116</v>
      </c>
      <c r="F20" s="11" t="s">
        <v>72</v>
      </c>
      <c r="G20" s="11" t="s">
        <v>90</v>
      </c>
    </row>
    <row r="21" customFormat="false" ht="15" hidden="false" customHeight="false" outlineLevel="0" collapsed="false">
      <c r="A21" s="11" t="s">
        <v>117</v>
      </c>
      <c r="B21" s="11" t="s">
        <v>108</v>
      </c>
      <c r="C21" s="4" t="s">
        <v>118</v>
      </c>
      <c r="D21" s="11" t="s">
        <v>88</v>
      </c>
      <c r="E21" s="11" t="s">
        <v>103</v>
      </c>
      <c r="F21" s="11" t="s">
        <v>110</v>
      </c>
      <c r="G21" s="11" t="s">
        <v>90</v>
      </c>
    </row>
    <row r="22" customFormat="false" ht="15" hidden="false" customHeight="false" outlineLevel="0" collapsed="false">
      <c r="A22" s="11" t="s">
        <v>119</v>
      </c>
      <c r="B22" s="11" t="s">
        <v>108</v>
      </c>
      <c r="C22" s="4" t="s">
        <v>120</v>
      </c>
      <c r="D22" s="11" t="s">
        <v>53</v>
      </c>
      <c r="E22" s="11" t="s">
        <v>121</v>
      </c>
      <c r="F22" s="11" t="s">
        <v>122</v>
      </c>
      <c r="G22" s="11" t="s">
        <v>111</v>
      </c>
    </row>
    <row r="23" customFormat="false" ht="15" hidden="false" customHeight="false" outlineLevel="0" collapsed="false">
      <c r="A23" s="11" t="s">
        <v>123</v>
      </c>
      <c r="B23" s="11" t="s">
        <v>108</v>
      </c>
      <c r="C23" s="4" t="s">
        <v>124</v>
      </c>
      <c r="D23" s="11" t="s">
        <v>53</v>
      </c>
      <c r="E23" s="11" t="s">
        <v>103</v>
      </c>
      <c r="F23" s="11" t="s">
        <v>94</v>
      </c>
      <c r="G23" s="11" t="s">
        <v>95</v>
      </c>
    </row>
    <row r="24" customFormat="false" ht="15" hidden="false" customHeight="false" outlineLevel="0" collapsed="false">
      <c r="A24" s="11" t="s">
        <v>125</v>
      </c>
      <c r="B24" s="11" t="s">
        <v>108</v>
      </c>
      <c r="C24" s="4" t="s">
        <v>126</v>
      </c>
      <c r="D24" s="11" t="s">
        <v>88</v>
      </c>
      <c r="E24" s="11" t="s">
        <v>127</v>
      </c>
      <c r="F24" s="11" t="s">
        <v>110</v>
      </c>
      <c r="G24" s="11" t="s">
        <v>95</v>
      </c>
    </row>
    <row r="25" customFormat="false" ht="15" hidden="false" customHeight="false" outlineLevel="0" collapsed="false">
      <c r="A25" s="11" t="s">
        <v>128</v>
      </c>
      <c r="B25" s="11" t="s">
        <v>108</v>
      </c>
      <c r="C25" s="4" t="s">
        <v>129</v>
      </c>
      <c r="D25" s="11" t="s">
        <v>88</v>
      </c>
      <c r="E25" s="11" t="s">
        <v>103</v>
      </c>
      <c r="F25" s="11" t="s">
        <v>85</v>
      </c>
      <c r="G25" s="11" t="s">
        <v>73</v>
      </c>
    </row>
    <row r="26" customFormat="false" ht="15" hidden="false" customHeight="false" outlineLevel="0" collapsed="false">
      <c r="A26" s="11" t="s">
        <v>130</v>
      </c>
      <c r="B26" s="11" t="s">
        <v>108</v>
      </c>
      <c r="C26" s="4" t="s">
        <v>131</v>
      </c>
      <c r="D26" s="11" t="s">
        <v>88</v>
      </c>
      <c r="E26" s="11" t="s">
        <v>103</v>
      </c>
      <c r="F26" s="11" t="s">
        <v>110</v>
      </c>
      <c r="G26" s="11" t="s">
        <v>90</v>
      </c>
    </row>
    <row r="27" customFormat="false" ht="15" hidden="false" customHeight="false" outlineLevel="0" collapsed="false">
      <c r="A27" s="11" t="s">
        <v>132</v>
      </c>
      <c r="B27" s="11" t="s">
        <v>108</v>
      </c>
      <c r="C27" s="4" t="s">
        <v>133</v>
      </c>
      <c r="D27" s="11" t="s">
        <v>53</v>
      </c>
      <c r="E27" s="11" t="s">
        <v>103</v>
      </c>
      <c r="F27" s="11" t="s">
        <v>110</v>
      </c>
      <c r="G27" s="11" t="s">
        <v>111</v>
      </c>
    </row>
    <row r="28" customFormat="false" ht="15" hidden="false" customHeight="false" outlineLevel="0" collapsed="false">
      <c r="A28" s="11" t="s">
        <v>59</v>
      </c>
      <c r="B28" s="11" t="s">
        <v>134</v>
      </c>
      <c r="C28" s="4" t="s">
        <v>135</v>
      </c>
      <c r="D28" s="11" t="s">
        <v>103</v>
      </c>
      <c r="E28" s="11" t="s">
        <v>57</v>
      </c>
      <c r="F28" s="11" t="s">
        <v>136</v>
      </c>
      <c r="G28" s="11" t="s">
        <v>56</v>
      </c>
    </row>
    <row r="29" customFormat="false" ht="39.5" hidden="false" customHeight="false" outlineLevel="0" collapsed="false">
      <c r="A29" s="11" t="s">
        <v>137</v>
      </c>
      <c r="B29" s="11" t="s">
        <v>134</v>
      </c>
      <c r="C29" s="4" t="s">
        <v>138</v>
      </c>
      <c r="D29" s="11" t="s">
        <v>103</v>
      </c>
      <c r="E29" s="11" t="s">
        <v>66</v>
      </c>
      <c r="F29" s="11" t="s">
        <v>139</v>
      </c>
      <c r="G29" s="11" t="s">
        <v>65</v>
      </c>
    </row>
    <row r="30" customFormat="false" ht="27" hidden="false" customHeight="false" outlineLevel="0" collapsed="false">
      <c r="A30" s="11" t="s">
        <v>63</v>
      </c>
      <c r="B30" s="11" t="s">
        <v>134</v>
      </c>
      <c r="C30" s="4" t="s">
        <v>140</v>
      </c>
      <c r="D30" s="11" t="s">
        <v>103</v>
      </c>
      <c r="E30" s="11" t="s">
        <v>61</v>
      </c>
      <c r="F30" s="11" t="s">
        <v>141</v>
      </c>
      <c r="G30" s="11" t="s">
        <v>77</v>
      </c>
    </row>
    <row r="31" customFormat="false" ht="27" hidden="false" customHeight="false" outlineLevel="0" collapsed="false">
      <c r="A31" s="11" t="s">
        <v>142</v>
      </c>
      <c r="B31" s="11" t="s">
        <v>134</v>
      </c>
      <c r="C31" s="4" t="s">
        <v>143</v>
      </c>
      <c r="D31" s="11" t="s">
        <v>103</v>
      </c>
      <c r="E31" s="11" t="s">
        <v>50</v>
      </c>
      <c r="F31" s="11" t="s">
        <v>144</v>
      </c>
      <c r="G31" s="11" t="s">
        <v>65</v>
      </c>
    </row>
    <row r="32" customFormat="false" ht="27" hidden="false" customHeight="false" outlineLevel="0" collapsed="false">
      <c r="A32" s="11" t="s">
        <v>145</v>
      </c>
      <c r="B32" s="11" t="s">
        <v>134</v>
      </c>
      <c r="C32" s="4" t="s">
        <v>146</v>
      </c>
      <c r="D32" s="11" t="s">
        <v>103</v>
      </c>
      <c r="E32" s="11" t="s">
        <v>50</v>
      </c>
      <c r="F32" s="11" t="s">
        <v>147</v>
      </c>
      <c r="G32" s="11" t="s">
        <v>65</v>
      </c>
    </row>
    <row r="33" customFormat="false" ht="27" hidden="false" customHeight="false" outlineLevel="0" collapsed="false">
      <c r="A33" s="11" t="s">
        <v>71</v>
      </c>
      <c r="B33" s="11" t="s">
        <v>134</v>
      </c>
      <c r="C33" s="4" t="s">
        <v>148</v>
      </c>
      <c r="D33" s="11" t="s">
        <v>103</v>
      </c>
      <c r="E33" s="11" t="s">
        <v>149</v>
      </c>
      <c r="F33" s="11" t="s">
        <v>150</v>
      </c>
      <c r="G33" s="11" t="s">
        <v>73</v>
      </c>
    </row>
    <row r="34" customFormat="false" ht="27" hidden="false" customHeight="false" outlineLevel="0" collapsed="false">
      <c r="A34" s="11" t="s">
        <v>151</v>
      </c>
      <c r="B34" s="11" t="s">
        <v>134</v>
      </c>
      <c r="C34" s="4" t="s">
        <v>152</v>
      </c>
      <c r="D34" s="11" t="s">
        <v>103</v>
      </c>
      <c r="E34" s="11" t="s">
        <v>78</v>
      </c>
      <c r="F34" s="11" t="s">
        <v>153</v>
      </c>
      <c r="G34" s="11" t="s">
        <v>81</v>
      </c>
    </row>
    <row r="35" customFormat="false" ht="27" hidden="false" customHeight="false" outlineLevel="0" collapsed="false">
      <c r="A35" s="11" t="s">
        <v>106</v>
      </c>
      <c r="B35" s="11" t="s">
        <v>134</v>
      </c>
      <c r="C35" s="4" t="s">
        <v>154</v>
      </c>
      <c r="D35" s="11" t="s">
        <v>103</v>
      </c>
      <c r="E35" s="11" t="s">
        <v>155</v>
      </c>
      <c r="F35" s="11" t="s">
        <v>156</v>
      </c>
      <c r="G35" s="11" t="s">
        <v>81</v>
      </c>
    </row>
    <row r="36" customFormat="false" ht="27" hidden="false" customHeight="false" outlineLevel="0" collapsed="false">
      <c r="A36" s="11" t="s">
        <v>84</v>
      </c>
      <c r="B36" s="11" t="s">
        <v>134</v>
      </c>
      <c r="C36" s="4" t="s">
        <v>157</v>
      </c>
      <c r="D36" s="11" t="s">
        <v>103</v>
      </c>
      <c r="E36" s="11" t="s">
        <v>82</v>
      </c>
      <c r="F36" s="11" t="s">
        <v>158</v>
      </c>
      <c r="G36" s="11" t="s">
        <v>81</v>
      </c>
    </row>
    <row r="37" customFormat="false" ht="27" hidden="false" customHeight="false" outlineLevel="0" collapsed="false">
      <c r="A37" s="11" t="s">
        <v>116</v>
      </c>
      <c r="B37" s="11" t="s">
        <v>134</v>
      </c>
      <c r="C37" s="4" t="s">
        <v>159</v>
      </c>
      <c r="D37" s="11" t="s">
        <v>103</v>
      </c>
      <c r="E37" s="11" t="s">
        <v>114</v>
      </c>
      <c r="F37" s="11" t="s">
        <v>160</v>
      </c>
      <c r="G37" s="11" t="s">
        <v>90</v>
      </c>
    </row>
    <row r="38" customFormat="false" ht="15" hidden="false" customHeight="false" outlineLevel="0" collapsed="false">
      <c r="A38" s="11" t="s">
        <v>89</v>
      </c>
      <c r="B38" s="11" t="s">
        <v>134</v>
      </c>
      <c r="C38" s="4" t="s">
        <v>161</v>
      </c>
      <c r="D38" s="11" t="s">
        <v>103</v>
      </c>
      <c r="E38" s="11" t="s">
        <v>162</v>
      </c>
      <c r="F38" s="11" t="s">
        <v>163</v>
      </c>
      <c r="G38" s="11" t="s">
        <v>90</v>
      </c>
    </row>
    <row r="39" customFormat="false" ht="27" hidden="false" customHeight="false" outlineLevel="0" collapsed="false">
      <c r="A39" s="11" t="s">
        <v>93</v>
      </c>
      <c r="B39" s="11" t="s">
        <v>134</v>
      </c>
      <c r="C39" s="4" t="s">
        <v>164</v>
      </c>
      <c r="D39" s="11" t="s">
        <v>103</v>
      </c>
      <c r="E39" s="11" t="s">
        <v>165</v>
      </c>
      <c r="F39" s="11" t="s">
        <v>166</v>
      </c>
      <c r="G39" s="11" t="s">
        <v>95</v>
      </c>
    </row>
    <row r="40" customFormat="false" ht="15" hidden="false" customHeight="false" outlineLevel="0" collapsed="false">
      <c r="A40" s="11" t="s">
        <v>121</v>
      </c>
      <c r="B40" s="11" t="s">
        <v>134</v>
      </c>
      <c r="C40" s="4" t="s">
        <v>167</v>
      </c>
      <c r="D40" s="11" t="s">
        <v>103</v>
      </c>
      <c r="E40" s="11" t="s">
        <v>119</v>
      </c>
      <c r="F40" s="11" t="s">
        <v>168</v>
      </c>
      <c r="G40" s="11" t="s">
        <v>111</v>
      </c>
    </row>
    <row r="41" customFormat="false" ht="15" hidden="false" customHeight="false" outlineLevel="0" collapsed="false">
      <c r="A41" s="11" t="s">
        <v>127</v>
      </c>
      <c r="B41" s="11" t="s">
        <v>134</v>
      </c>
      <c r="C41" s="4" t="s">
        <v>169</v>
      </c>
      <c r="D41" s="11" t="s">
        <v>103</v>
      </c>
      <c r="E41" s="11" t="s">
        <v>125</v>
      </c>
      <c r="F41" s="11" t="s">
        <v>170</v>
      </c>
      <c r="G41" s="11" t="s">
        <v>95</v>
      </c>
    </row>
    <row r="43" customFormat="false" ht="15" hidden="false" customHeight="false" outlineLevel="0" collapsed="false">
      <c r="A43" s="2" t="s">
        <v>171</v>
      </c>
    </row>
  </sheetData>
  <autoFilter ref="A3:G41"/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D4:D41" type="list">
      <formula1>"M,S,C"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22"/>
  </cols>
  <sheetData>
    <row r="1" customFormat="false" ht="16.15" hidden="false" customHeight="false" outlineLevel="0" collapsed="false">
      <c r="A1" s="8" t="s">
        <v>172</v>
      </c>
      <c r="B1" s="8"/>
      <c r="C1" s="8"/>
      <c r="D1" s="8"/>
      <c r="E1" s="8"/>
      <c r="F1" s="8"/>
      <c r="G1" s="8"/>
      <c r="H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  <c r="H2" s="9"/>
    </row>
    <row r="3" customFormat="false" ht="15" hidden="false" customHeight="false" outlineLevel="0" collapsed="false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179</v>
      </c>
      <c r="H3" s="10" t="s">
        <v>180</v>
      </c>
    </row>
    <row r="4" customFormat="false" ht="15" hidden="false" customHeight="false" outlineLevel="0" collapsed="false">
      <c r="A4" s="11" t="s">
        <v>181</v>
      </c>
      <c r="B4" s="4" t="s">
        <v>182</v>
      </c>
      <c r="C4" s="4" t="s">
        <v>183</v>
      </c>
      <c r="D4" s="11" t="s">
        <v>184</v>
      </c>
      <c r="E4" s="11" t="n">
        <v>1</v>
      </c>
      <c r="F4" s="11" t="n">
        <v>55</v>
      </c>
      <c r="G4" s="11" t="n">
        <v>16</v>
      </c>
      <c r="H4" s="4" t="s">
        <v>185</v>
      </c>
    </row>
    <row r="5" customFormat="false" ht="15" hidden="false" customHeight="false" outlineLevel="0" collapsed="false">
      <c r="A5" s="11" t="s">
        <v>186</v>
      </c>
      <c r="B5" s="4" t="s">
        <v>187</v>
      </c>
      <c r="C5" s="4" t="s">
        <v>188</v>
      </c>
      <c r="D5" s="11" t="s">
        <v>184</v>
      </c>
      <c r="E5" s="11" t="n">
        <v>1</v>
      </c>
      <c r="F5" s="11" t="n">
        <v>12</v>
      </c>
      <c r="G5" s="11" t="n">
        <v>8</v>
      </c>
      <c r="H5" s="4" t="s">
        <v>189</v>
      </c>
    </row>
    <row r="6" customFormat="false" ht="15" hidden="false" customHeight="false" outlineLevel="0" collapsed="false">
      <c r="A6" s="11" t="s">
        <v>190</v>
      </c>
      <c r="B6" s="4" t="s">
        <v>191</v>
      </c>
      <c r="C6" s="4" t="s">
        <v>192</v>
      </c>
      <c r="D6" s="11" t="s">
        <v>184</v>
      </c>
      <c r="E6" s="11" t="n">
        <v>1</v>
      </c>
      <c r="F6" s="11" t="n">
        <v>8</v>
      </c>
      <c r="G6" s="11" t="n">
        <v>5</v>
      </c>
      <c r="H6" s="4"/>
    </row>
    <row r="7" customFormat="false" ht="15" hidden="false" customHeight="false" outlineLevel="0" collapsed="false">
      <c r="A7" s="11" t="s">
        <v>193</v>
      </c>
      <c r="B7" s="4" t="s">
        <v>194</v>
      </c>
      <c r="C7" s="4" t="s">
        <v>195</v>
      </c>
      <c r="D7" s="11" t="s">
        <v>184</v>
      </c>
      <c r="E7" s="11" t="n">
        <v>1</v>
      </c>
      <c r="F7" s="11" t="n">
        <v>5</v>
      </c>
      <c r="G7" s="11" t="n">
        <v>4</v>
      </c>
      <c r="H7" s="4" t="s">
        <v>196</v>
      </c>
    </row>
    <row r="8" customFormat="false" ht="15" hidden="false" customHeight="false" outlineLevel="0" collapsed="false">
      <c r="A8" s="11" t="s">
        <v>197</v>
      </c>
      <c r="B8" s="4" t="s">
        <v>198</v>
      </c>
      <c r="C8" s="4" t="s">
        <v>199</v>
      </c>
      <c r="D8" s="11" t="s">
        <v>184</v>
      </c>
      <c r="E8" s="11" t="n">
        <v>1</v>
      </c>
      <c r="F8" s="11" t="n">
        <v>12</v>
      </c>
      <c r="G8" s="11" t="n">
        <v>6</v>
      </c>
      <c r="H8" s="4"/>
    </row>
    <row r="9" customFormat="false" ht="15" hidden="false" customHeight="false" outlineLevel="0" collapsed="false">
      <c r="A9" s="11" t="s">
        <v>200</v>
      </c>
      <c r="B9" s="4" t="s">
        <v>201</v>
      </c>
      <c r="C9" s="4" t="s">
        <v>202</v>
      </c>
      <c r="D9" s="11" t="s">
        <v>184</v>
      </c>
      <c r="E9" s="11" t="n">
        <v>1</v>
      </c>
      <c r="F9" s="11" t="n">
        <v>12</v>
      </c>
      <c r="G9" s="11" t="n">
        <v>7</v>
      </c>
      <c r="H9" s="4"/>
    </row>
    <row r="10" customFormat="false" ht="15" hidden="false" customHeight="false" outlineLevel="0" collapsed="false">
      <c r="A10" s="11" t="s">
        <v>203</v>
      </c>
      <c r="B10" s="4" t="s">
        <v>204</v>
      </c>
      <c r="C10" s="4" t="s">
        <v>205</v>
      </c>
      <c r="D10" s="11" t="s">
        <v>206</v>
      </c>
      <c r="E10" s="11" t="n">
        <v>1</v>
      </c>
      <c r="F10" s="11" t="n">
        <v>25</v>
      </c>
      <c r="G10" s="11" t="n">
        <v>10</v>
      </c>
      <c r="H10" s="4"/>
    </row>
    <row r="11" customFormat="false" ht="15" hidden="false" customHeight="false" outlineLevel="0" collapsed="false">
      <c r="A11" s="11" t="s">
        <v>207</v>
      </c>
      <c r="B11" s="4" t="s">
        <v>208</v>
      </c>
      <c r="C11" s="4" t="s">
        <v>209</v>
      </c>
      <c r="D11" s="11" t="s">
        <v>206</v>
      </c>
      <c r="E11" s="11" t="n">
        <v>1</v>
      </c>
      <c r="F11" s="11" t="n">
        <v>35</v>
      </c>
      <c r="G11" s="11" t="n">
        <v>15</v>
      </c>
      <c r="H11" s="4" t="s">
        <v>210</v>
      </c>
    </row>
    <row r="12" customFormat="false" ht="15" hidden="false" customHeight="false" outlineLevel="0" collapsed="false">
      <c r="A12" s="11" t="s">
        <v>211</v>
      </c>
      <c r="B12" s="4" t="s">
        <v>212</v>
      </c>
      <c r="C12" s="4" t="s">
        <v>213</v>
      </c>
      <c r="D12" s="11" t="s">
        <v>206</v>
      </c>
      <c r="E12" s="11" t="n">
        <v>1</v>
      </c>
      <c r="F12" s="11" t="n">
        <v>45</v>
      </c>
      <c r="G12" s="11" t="n">
        <v>18</v>
      </c>
      <c r="H12" s="4" t="s">
        <v>214</v>
      </c>
    </row>
    <row r="13" customFormat="false" ht="15" hidden="false" customHeight="false" outlineLevel="0" collapsed="false">
      <c r="A13" s="11" t="s">
        <v>215</v>
      </c>
      <c r="B13" s="4" t="s">
        <v>216</v>
      </c>
      <c r="C13" s="4" t="s">
        <v>217</v>
      </c>
      <c r="D13" s="11" t="s">
        <v>206</v>
      </c>
      <c r="E13" s="11" t="n">
        <v>1</v>
      </c>
      <c r="F13" s="11" t="n">
        <v>40</v>
      </c>
      <c r="G13" s="11" t="n">
        <v>15</v>
      </c>
      <c r="H13" s="4"/>
    </row>
    <row r="14" customFormat="false" ht="15" hidden="false" customHeight="false" outlineLevel="0" collapsed="false">
      <c r="A14" s="11" t="s">
        <v>218</v>
      </c>
      <c r="B14" s="4" t="s">
        <v>219</v>
      </c>
      <c r="C14" s="4" t="s">
        <v>220</v>
      </c>
      <c r="D14" s="11" t="s">
        <v>206</v>
      </c>
      <c r="E14" s="11" t="n">
        <v>1</v>
      </c>
      <c r="F14" s="11" t="n">
        <v>35</v>
      </c>
      <c r="G14" s="11" t="n">
        <v>15</v>
      </c>
      <c r="H14" s="4"/>
    </row>
    <row r="15" customFormat="false" ht="15" hidden="false" customHeight="false" outlineLevel="0" collapsed="false">
      <c r="A15" s="11" t="s">
        <v>221</v>
      </c>
      <c r="B15" s="4" t="s">
        <v>222</v>
      </c>
      <c r="C15" s="4" t="s">
        <v>223</v>
      </c>
      <c r="D15" s="11" t="s">
        <v>184</v>
      </c>
      <c r="E15" s="11" t="n">
        <v>1</v>
      </c>
      <c r="F15" s="11" t="n">
        <v>25</v>
      </c>
      <c r="G15" s="11" t="n">
        <v>12</v>
      </c>
      <c r="H15" s="4" t="s">
        <v>224</v>
      </c>
    </row>
    <row r="16" customFormat="false" ht="15" hidden="false" customHeight="false" outlineLevel="0" collapsed="false">
      <c r="A16" s="11" t="s">
        <v>225</v>
      </c>
      <c r="B16" s="4" t="s">
        <v>226</v>
      </c>
      <c r="C16" s="4" t="s">
        <v>227</v>
      </c>
      <c r="D16" s="11" t="s">
        <v>206</v>
      </c>
      <c r="E16" s="11" t="n">
        <v>1</v>
      </c>
      <c r="F16" s="11" t="n">
        <v>30</v>
      </c>
      <c r="G16" s="11" t="n">
        <v>12</v>
      </c>
      <c r="H16" s="4"/>
    </row>
    <row r="17" customFormat="false" ht="15" hidden="false" customHeight="false" outlineLevel="0" collapsed="false">
      <c r="C17" s="6" t="s">
        <v>228</v>
      </c>
      <c r="F17" s="12" t="n">
        <f aca="false">SUMPRODUCT(E4:E16,F4:F16)</f>
        <v>339</v>
      </c>
      <c r="G17" s="12" t="n">
        <f aca="false">SUMPRODUCT(E4:E16,G4:G16)</f>
        <v>143</v>
      </c>
    </row>
    <row r="19" customFormat="false" ht="15" hidden="false" customHeight="false" outlineLevel="0" collapsed="false">
      <c r="C19" s="2" t="s">
        <v>229</v>
      </c>
    </row>
  </sheetData>
  <autoFilter ref="A3:H16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1"/>
  </cols>
  <sheetData>
    <row r="1" customFormat="false" ht="19.5" hidden="false" customHeight="false" outlineLevel="0" collapsed="false">
      <c r="A1" s="8" t="s">
        <v>230</v>
      </c>
      <c r="B1" s="8"/>
      <c r="C1" s="8"/>
      <c r="D1" s="8"/>
      <c r="E1" s="8"/>
      <c r="F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</row>
    <row r="3" customFormat="false" ht="15" hidden="false" customHeight="false" outlineLevel="0" collapsed="false">
      <c r="A3" s="10" t="s">
        <v>173</v>
      </c>
      <c r="B3" s="10" t="s">
        <v>44</v>
      </c>
      <c r="C3" s="10" t="s">
        <v>231</v>
      </c>
      <c r="D3" s="10" t="s">
        <v>177</v>
      </c>
      <c r="E3" s="10" t="s">
        <v>178</v>
      </c>
      <c r="F3" s="10" t="s">
        <v>232</v>
      </c>
    </row>
    <row r="4" customFormat="false" ht="15" hidden="false" customHeight="false" outlineLevel="0" collapsed="false">
      <c r="A4" s="11" t="s">
        <v>181</v>
      </c>
      <c r="B4" s="11" t="s">
        <v>233</v>
      </c>
      <c r="C4" s="4" t="s">
        <v>234</v>
      </c>
      <c r="D4" s="11" t="n">
        <v>1</v>
      </c>
      <c r="E4" s="11" t="n">
        <v>25</v>
      </c>
      <c r="F4" s="11" t="n">
        <f aca="false">D4*E4</f>
        <v>25</v>
      </c>
    </row>
    <row r="5" customFormat="false" ht="15" hidden="false" customHeight="false" outlineLevel="0" collapsed="false">
      <c r="A5" s="11" t="s">
        <v>186</v>
      </c>
      <c r="B5" s="11" t="s">
        <v>233</v>
      </c>
      <c r="C5" s="4" t="s">
        <v>235</v>
      </c>
      <c r="D5" s="11" t="n">
        <v>1</v>
      </c>
      <c r="E5" s="11" t="n">
        <v>12</v>
      </c>
      <c r="F5" s="11" t="n">
        <f aca="false">D5*E5</f>
        <v>12</v>
      </c>
    </row>
    <row r="6" customFormat="false" ht="15" hidden="false" customHeight="false" outlineLevel="0" collapsed="false">
      <c r="A6" s="11" t="s">
        <v>190</v>
      </c>
      <c r="B6" s="11" t="s">
        <v>233</v>
      </c>
      <c r="C6" s="4" t="s">
        <v>236</v>
      </c>
      <c r="D6" s="11" t="n">
        <v>1</v>
      </c>
      <c r="E6" s="11" t="n">
        <v>8</v>
      </c>
      <c r="F6" s="11" t="n">
        <f aca="false">D6*E6</f>
        <v>8</v>
      </c>
    </row>
    <row r="7" customFormat="false" ht="15" hidden="false" customHeight="false" outlineLevel="0" collapsed="false">
      <c r="A7" s="11" t="s">
        <v>193</v>
      </c>
      <c r="B7" s="11" t="s">
        <v>233</v>
      </c>
      <c r="C7" s="4" t="s">
        <v>237</v>
      </c>
      <c r="D7" s="11" t="n">
        <v>1</v>
      </c>
      <c r="E7" s="11" t="n">
        <v>5</v>
      </c>
      <c r="F7" s="11" t="n">
        <f aca="false">D7*E7</f>
        <v>5</v>
      </c>
    </row>
    <row r="8" customFormat="false" ht="15" hidden="false" customHeight="false" outlineLevel="0" collapsed="false">
      <c r="A8" s="11" t="s">
        <v>197</v>
      </c>
      <c r="B8" s="11" t="s">
        <v>233</v>
      </c>
      <c r="C8" s="4" t="s">
        <v>238</v>
      </c>
      <c r="D8" s="11" t="n">
        <v>1</v>
      </c>
      <c r="E8" s="11" t="n">
        <v>15</v>
      </c>
      <c r="F8" s="11" t="n">
        <f aca="false">D8*E8</f>
        <v>15</v>
      </c>
    </row>
    <row r="9" customFormat="false" ht="15" hidden="false" customHeight="false" outlineLevel="0" collapsed="false">
      <c r="A9" s="11" t="s">
        <v>200</v>
      </c>
      <c r="B9" s="11" t="s">
        <v>233</v>
      </c>
      <c r="C9" s="4" t="s">
        <v>239</v>
      </c>
      <c r="D9" s="11" t="n">
        <v>1</v>
      </c>
      <c r="E9" s="11" t="n">
        <v>3</v>
      </c>
      <c r="F9" s="11" t="n">
        <f aca="false">D9*E9</f>
        <v>3</v>
      </c>
    </row>
    <row r="10" customFormat="false" ht="15" hidden="false" customHeight="false" outlineLevel="0" collapsed="false">
      <c r="A10" s="11" t="s">
        <v>203</v>
      </c>
      <c r="B10" s="11" t="s">
        <v>233</v>
      </c>
      <c r="C10" s="4" t="s">
        <v>240</v>
      </c>
      <c r="D10" s="11" t="n">
        <v>1</v>
      </c>
      <c r="E10" s="11" t="n">
        <v>2</v>
      </c>
      <c r="F10" s="11" t="n">
        <f aca="false">D10*E10</f>
        <v>2</v>
      </c>
    </row>
    <row r="11" customFormat="false" ht="15" hidden="false" customHeight="false" outlineLevel="0" collapsed="false">
      <c r="A11" s="11" t="s">
        <v>207</v>
      </c>
      <c r="B11" s="11" t="s">
        <v>233</v>
      </c>
      <c r="C11" s="4" t="s">
        <v>241</v>
      </c>
      <c r="D11" s="11" t="n">
        <v>2</v>
      </c>
      <c r="E11" s="11" t="n">
        <v>1</v>
      </c>
      <c r="F11" s="11" t="n">
        <f aca="false">D11*E11</f>
        <v>2</v>
      </c>
    </row>
    <row r="12" customFormat="false" ht="15" hidden="false" customHeight="false" outlineLevel="0" collapsed="false">
      <c r="A12" s="11" t="s">
        <v>211</v>
      </c>
      <c r="B12" s="11" t="s">
        <v>242</v>
      </c>
      <c r="C12" s="4" t="s">
        <v>243</v>
      </c>
      <c r="D12" s="11" t="n">
        <v>1</v>
      </c>
      <c r="E12" s="11" t="n">
        <v>8</v>
      </c>
      <c r="F12" s="11" t="n">
        <f aca="false">D12*E12</f>
        <v>8</v>
      </c>
    </row>
    <row r="13" customFormat="false" ht="15" hidden="false" customHeight="false" outlineLevel="0" collapsed="false">
      <c r="A13" s="11" t="s">
        <v>215</v>
      </c>
      <c r="B13" s="11" t="s">
        <v>242</v>
      </c>
      <c r="C13" s="4" t="s">
        <v>244</v>
      </c>
      <c r="D13" s="11" t="n">
        <v>1</v>
      </c>
      <c r="E13" s="11" t="n">
        <v>6</v>
      </c>
      <c r="F13" s="11" t="n">
        <f aca="false">D13*E13</f>
        <v>6</v>
      </c>
    </row>
    <row r="14" customFormat="false" ht="15" hidden="false" customHeight="false" outlineLevel="0" collapsed="false">
      <c r="A14" s="11" t="s">
        <v>218</v>
      </c>
      <c r="B14" s="11" t="s">
        <v>242</v>
      </c>
      <c r="C14" s="4" t="s">
        <v>245</v>
      </c>
      <c r="D14" s="11" t="n">
        <v>2</v>
      </c>
      <c r="E14" s="11" t="n">
        <v>2</v>
      </c>
      <c r="F14" s="11" t="n">
        <f aca="false">D14*E14</f>
        <v>4</v>
      </c>
    </row>
    <row r="15" customFormat="false" ht="15" hidden="false" customHeight="false" outlineLevel="0" collapsed="false">
      <c r="A15" s="11" t="s">
        <v>221</v>
      </c>
      <c r="B15" s="11" t="s">
        <v>242</v>
      </c>
      <c r="C15" s="4" t="s">
        <v>246</v>
      </c>
      <c r="D15" s="11" t="n">
        <v>1</v>
      </c>
      <c r="E15" s="11" t="n">
        <v>5</v>
      </c>
      <c r="F15" s="11" t="n">
        <f aca="false">D15*E15</f>
        <v>5</v>
      </c>
    </row>
    <row r="16" customFormat="false" ht="15" hidden="false" customHeight="false" outlineLevel="0" collapsed="false">
      <c r="A16" s="11" t="s">
        <v>225</v>
      </c>
      <c r="B16" s="11" t="s">
        <v>242</v>
      </c>
      <c r="C16" s="4" t="s">
        <v>247</v>
      </c>
      <c r="D16" s="11" t="n">
        <v>1</v>
      </c>
      <c r="E16" s="11" t="n">
        <v>15</v>
      </c>
      <c r="F16" s="11" t="n">
        <f aca="false">D16*E16</f>
        <v>15</v>
      </c>
    </row>
    <row r="17" customFormat="false" ht="15" hidden="false" customHeight="false" outlineLevel="0" collapsed="false">
      <c r="A17" s="11" t="s">
        <v>248</v>
      </c>
      <c r="B17" s="11" t="s">
        <v>242</v>
      </c>
      <c r="C17" s="4" t="s">
        <v>249</v>
      </c>
      <c r="D17" s="11" t="n">
        <v>1</v>
      </c>
      <c r="E17" s="11" t="n">
        <v>8</v>
      </c>
      <c r="F17" s="11" t="n">
        <f aca="false">D17*E17</f>
        <v>8</v>
      </c>
    </row>
    <row r="18" customFormat="false" ht="15" hidden="false" customHeight="false" outlineLevel="0" collapsed="false">
      <c r="A18" s="11" t="s">
        <v>250</v>
      </c>
      <c r="B18" s="11" t="s">
        <v>242</v>
      </c>
      <c r="C18" s="4" t="s">
        <v>251</v>
      </c>
      <c r="D18" s="11" t="n">
        <v>1</v>
      </c>
      <c r="E18" s="11" t="n">
        <v>6</v>
      </c>
      <c r="F18" s="11" t="n">
        <f aca="false">D18*E18</f>
        <v>6</v>
      </c>
    </row>
    <row r="19" customFormat="false" ht="15" hidden="false" customHeight="false" outlineLevel="0" collapsed="false">
      <c r="A19" s="11" t="s">
        <v>252</v>
      </c>
      <c r="B19" s="11" t="s">
        <v>242</v>
      </c>
      <c r="C19" s="4" t="s">
        <v>253</v>
      </c>
      <c r="D19" s="11" t="n">
        <v>1</v>
      </c>
      <c r="E19" s="11" t="n">
        <v>5</v>
      </c>
      <c r="F19" s="11" t="n">
        <f aca="false">D19*E19</f>
        <v>5</v>
      </c>
    </row>
    <row r="20" customFormat="false" ht="15" hidden="false" customHeight="false" outlineLevel="0" collapsed="false">
      <c r="A20" s="11" t="s">
        <v>254</v>
      </c>
      <c r="B20" s="11" t="s">
        <v>255</v>
      </c>
      <c r="C20" s="4" t="s">
        <v>256</v>
      </c>
      <c r="D20" s="11" t="n">
        <v>2</v>
      </c>
      <c r="E20" s="11" t="n">
        <v>5</v>
      </c>
      <c r="F20" s="11" t="n">
        <f aca="false">D20*E20</f>
        <v>10</v>
      </c>
    </row>
    <row r="21" customFormat="false" ht="15" hidden="false" customHeight="false" outlineLevel="0" collapsed="false">
      <c r="A21" s="11" t="s">
        <v>257</v>
      </c>
      <c r="B21" s="11" t="s">
        <v>255</v>
      </c>
      <c r="C21" s="4" t="s">
        <v>258</v>
      </c>
      <c r="D21" s="11" t="n">
        <v>1</v>
      </c>
      <c r="E21" s="11" t="n">
        <v>10</v>
      </c>
      <c r="F21" s="11" t="n">
        <f aca="false">D21*E21</f>
        <v>10</v>
      </c>
    </row>
    <row r="22" customFormat="false" ht="15" hidden="false" customHeight="false" outlineLevel="0" collapsed="false">
      <c r="A22" s="11" t="s">
        <v>259</v>
      </c>
      <c r="B22" s="11" t="s">
        <v>255</v>
      </c>
      <c r="C22" s="4" t="s">
        <v>260</v>
      </c>
      <c r="D22" s="11" t="n">
        <v>1</v>
      </c>
      <c r="E22" s="11" t="n">
        <v>10</v>
      </c>
      <c r="F22" s="11" t="n">
        <f aca="false">D22*E22</f>
        <v>10</v>
      </c>
    </row>
    <row r="23" customFormat="false" ht="15" hidden="false" customHeight="false" outlineLevel="0" collapsed="false">
      <c r="A23" s="11" t="s">
        <v>261</v>
      </c>
      <c r="B23" s="11" t="s">
        <v>255</v>
      </c>
      <c r="C23" s="4" t="s">
        <v>262</v>
      </c>
      <c r="D23" s="11" t="n">
        <v>1</v>
      </c>
      <c r="E23" s="11" t="n">
        <v>3</v>
      </c>
      <c r="F23" s="11" t="n">
        <f aca="false">D23*E23</f>
        <v>3</v>
      </c>
    </row>
    <row r="24" customFormat="false" ht="15" hidden="false" customHeight="false" outlineLevel="0" collapsed="false">
      <c r="A24" s="11" t="s">
        <v>263</v>
      </c>
      <c r="B24" s="11" t="s">
        <v>255</v>
      </c>
      <c r="C24" s="4" t="s">
        <v>264</v>
      </c>
      <c r="D24" s="11" t="n">
        <v>1</v>
      </c>
      <c r="E24" s="11" t="n">
        <v>3</v>
      </c>
      <c r="F24" s="11" t="n">
        <f aca="false">D24*E24</f>
        <v>3</v>
      </c>
    </row>
    <row r="25" customFormat="false" ht="15" hidden="false" customHeight="false" outlineLevel="0" collapsed="false">
      <c r="A25" s="11" t="s">
        <v>265</v>
      </c>
      <c r="B25" s="11" t="s">
        <v>255</v>
      </c>
      <c r="C25" s="4" t="s">
        <v>266</v>
      </c>
      <c r="D25" s="11" t="n">
        <v>1</v>
      </c>
      <c r="E25" s="11" t="n">
        <v>5</v>
      </c>
      <c r="F25" s="11" t="n">
        <f aca="false">D25*E25</f>
        <v>5</v>
      </c>
    </row>
    <row r="26" customFormat="false" ht="15" hidden="false" customHeight="false" outlineLevel="0" collapsed="false">
      <c r="A26" s="11" t="s">
        <v>267</v>
      </c>
      <c r="B26" s="11" t="s">
        <v>255</v>
      </c>
      <c r="C26" s="4" t="s">
        <v>268</v>
      </c>
      <c r="D26" s="11" t="n">
        <v>1</v>
      </c>
      <c r="E26" s="11" t="n">
        <v>6</v>
      </c>
      <c r="F26" s="11" t="n">
        <f aca="false">D26*E26</f>
        <v>6</v>
      </c>
    </row>
    <row r="27" customFormat="false" ht="15" hidden="false" customHeight="false" outlineLevel="0" collapsed="false">
      <c r="A27" s="11" t="s">
        <v>269</v>
      </c>
      <c r="B27" s="11" t="s">
        <v>255</v>
      </c>
      <c r="C27" s="4" t="s">
        <v>270</v>
      </c>
      <c r="D27" s="11" t="n">
        <v>1</v>
      </c>
      <c r="E27" s="11" t="n">
        <v>15</v>
      </c>
      <c r="F27" s="11" t="n">
        <f aca="false">D27*E27</f>
        <v>15</v>
      </c>
    </row>
    <row r="28" customFormat="false" ht="15" hidden="false" customHeight="false" outlineLevel="0" collapsed="false">
      <c r="A28" s="11" t="s">
        <v>271</v>
      </c>
      <c r="B28" s="11" t="s">
        <v>255</v>
      </c>
      <c r="C28" s="4" t="s">
        <v>272</v>
      </c>
      <c r="D28" s="11" t="n">
        <v>1</v>
      </c>
      <c r="E28" s="11" t="n">
        <v>20</v>
      </c>
      <c r="F28" s="11" t="n">
        <f aca="false">D28*E28</f>
        <v>20</v>
      </c>
    </row>
    <row r="29" customFormat="false" ht="15" hidden="false" customHeight="false" outlineLevel="0" collapsed="false">
      <c r="C29" s="13" t="s">
        <v>273</v>
      </c>
      <c r="F29" s="12" t="n">
        <f aca="false">SUM(F4:F28)</f>
        <v>211</v>
      </c>
    </row>
    <row r="30" customFormat="false" ht="15" hidden="false" customHeight="false" outlineLevel="0" collapsed="false">
      <c r="C30" s="13" t="s">
        <v>274</v>
      </c>
      <c r="F30" s="12" t="n">
        <f aca="false">ROUND(F29*0.1,0)</f>
        <v>21</v>
      </c>
    </row>
    <row r="31" customFormat="false" ht="15" hidden="false" customHeight="false" outlineLevel="0" collapsed="false">
      <c r="C31" s="13" t="s">
        <v>275</v>
      </c>
      <c r="F31" s="12" t="n">
        <f aca="false">F29+F30</f>
        <v>232</v>
      </c>
    </row>
    <row r="32" customFormat="false" ht="27" hidden="false" customHeight="false" outlineLevel="0" collapsed="false">
      <c r="C32" s="4" t="s">
        <v>276</v>
      </c>
      <c r="F32" s="12" t="n">
        <f aca="false">F31-53</f>
        <v>179</v>
      </c>
    </row>
    <row r="34" customFormat="false" ht="15" hidden="false" customHeight="false" outlineLevel="0" collapsed="false">
      <c r="C34" s="2" t="s">
        <v>277</v>
      </c>
    </row>
  </sheetData>
  <autoFilter ref="A3:F28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46"/>
    <col collapsed="false" customWidth="true" hidden="false" outlineLevel="0" max="8" min="8" style="0" width="8"/>
    <col collapsed="false" customWidth="true" hidden="false" outlineLevel="0" max="9" min="9" style="0" width="22"/>
    <col collapsed="false" customWidth="true" hidden="false" outlineLevel="0" max="10" min="10" style="0" width="9"/>
  </cols>
  <sheetData>
    <row r="1" customFormat="false" ht="19.5" hidden="false" customHeight="false" outlineLevel="0" collapsed="false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28" hidden="false" customHeight="false" outlineLevel="0" collapsed="false">
      <c r="A3" s="10" t="s">
        <v>279</v>
      </c>
      <c r="B3" s="10" t="s">
        <v>280</v>
      </c>
      <c r="C3" s="10" t="s">
        <v>44</v>
      </c>
      <c r="D3" s="10" t="s">
        <v>281</v>
      </c>
      <c r="E3" s="10" t="s">
        <v>282</v>
      </c>
      <c r="F3" s="10" t="s">
        <v>283</v>
      </c>
      <c r="G3" s="10" t="s">
        <v>284</v>
      </c>
      <c r="H3" s="10" t="s">
        <v>285</v>
      </c>
      <c r="I3" s="10" t="s">
        <v>286</v>
      </c>
      <c r="J3" s="10" t="s">
        <v>287</v>
      </c>
    </row>
    <row r="4" customFormat="false" ht="15" hidden="false" customHeight="false" outlineLevel="0" collapsed="false">
      <c r="A4" s="11" t="s">
        <v>288</v>
      </c>
      <c r="B4" s="4" t="s">
        <v>289</v>
      </c>
      <c r="C4" s="11" t="s">
        <v>290</v>
      </c>
      <c r="D4" s="11" t="n">
        <v>2</v>
      </c>
      <c r="E4" s="11" t="n">
        <v>2</v>
      </c>
      <c r="F4" s="11" t="n">
        <f aca="false">D4*E4</f>
        <v>4</v>
      </c>
      <c r="G4" s="4" t="s">
        <v>291</v>
      </c>
      <c r="H4" s="11" t="s">
        <v>292</v>
      </c>
      <c r="I4" s="4" t="s">
        <v>293</v>
      </c>
      <c r="J4" s="11" t="s">
        <v>294</v>
      </c>
    </row>
    <row r="5" customFormat="false" ht="15" hidden="false" customHeight="false" outlineLevel="0" collapsed="false">
      <c r="A5" s="11" t="s">
        <v>295</v>
      </c>
      <c r="B5" s="4" t="s">
        <v>296</v>
      </c>
      <c r="C5" s="11" t="s">
        <v>297</v>
      </c>
      <c r="D5" s="11" t="n">
        <v>3</v>
      </c>
      <c r="E5" s="11" t="n">
        <v>2</v>
      </c>
      <c r="F5" s="11" t="n">
        <f aca="false">D5*E5</f>
        <v>6</v>
      </c>
      <c r="G5" s="4" t="s">
        <v>298</v>
      </c>
      <c r="H5" s="11" t="s">
        <v>299</v>
      </c>
      <c r="I5" s="4" t="s">
        <v>300</v>
      </c>
      <c r="J5" s="11" t="s">
        <v>294</v>
      </c>
    </row>
    <row r="6" customFormat="false" ht="15" hidden="false" customHeight="false" outlineLevel="0" collapsed="false">
      <c r="A6" s="11" t="s">
        <v>301</v>
      </c>
      <c r="B6" s="4" t="s">
        <v>302</v>
      </c>
      <c r="C6" s="11" t="s">
        <v>303</v>
      </c>
      <c r="D6" s="11" t="n">
        <v>2</v>
      </c>
      <c r="E6" s="11" t="n">
        <v>2</v>
      </c>
      <c r="F6" s="11" t="n">
        <f aca="false">D6*E6</f>
        <v>4</v>
      </c>
      <c r="G6" s="4" t="s">
        <v>304</v>
      </c>
      <c r="H6" s="11" t="s">
        <v>305</v>
      </c>
      <c r="I6" s="4" t="s">
        <v>306</v>
      </c>
      <c r="J6" s="11" t="s">
        <v>294</v>
      </c>
    </row>
    <row r="7" customFormat="false" ht="15" hidden="false" customHeight="false" outlineLevel="0" collapsed="false">
      <c r="A7" s="11" t="s">
        <v>307</v>
      </c>
      <c r="B7" s="4" t="s">
        <v>308</v>
      </c>
      <c r="C7" s="11" t="s">
        <v>290</v>
      </c>
      <c r="D7" s="11" t="n">
        <v>2</v>
      </c>
      <c r="E7" s="11" t="n">
        <v>2</v>
      </c>
      <c r="F7" s="11" t="n">
        <f aca="false">D7*E7</f>
        <v>4</v>
      </c>
      <c r="G7" s="4" t="s">
        <v>309</v>
      </c>
      <c r="H7" s="11" t="s">
        <v>292</v>
      </c>
      <c r="I7" s="4" t="s">
        <v>310</v>
      </c>
      <c r="J7" s="11" t="s">
        <v>294</v>
      </c>
    </row>
    <row r="8" customFormat="false" ht="15" hidden="false" customHeight="false" outlineLevel="0" collapsed="false">
      <c r="A8" s="11" t="s">
        <v>311</v>
      </c>
      <c r="B8" s="4" t="s">
        <v>312</v>
      </c>
      <c r="C8" s="11" t="s">
        <v>290</v>
      </c>
      <c r="D8" s="11" t="n">
        <v>2</v>
      </c>
      <c r="E8" s="11" t="n">
        <v>3</v>
      </c>
      <c r="F8" s="11" t="n">
        <f aca="false">D8*E8</f>
        <v>6</v>
      </c>
      <c r="G8" s="4" t="s">
        <v>313</v>
      </c>
      <c r="H8" s="11" t="s">
        <v>305</v>
      </c>
      <c r="I8" s="4" t="s">
        <v>314</v>
      </c>
      <c r="J8" s="11" t="s">
        <v>294</v>
      </c>
    </row>
    <row r="9" customFormat="false" ht="15" hidden="false" customHeight="false" outlineLevel="0" collapsed="false">
      <c r="A9" s="11" t="s">
        <v>315</v>
      </c>
      <c r="B9" s="4" t="s">
        <v>316</v>
      </c>
      <c r="C9" s="11" t="s">
        <v>317</v>
      </c>
      <c r="D9" s="11" t="n">
        <v>2</v>
      </c>
      <c r="E9" s="11" t="n">
        <v>3</v>
      </c>
      <c r="F9" s="11" t="n">
        <f aca="false">D9*E9</f>
        <v>6</v>
      </c>
      <c r="G9" s="4" t="s">
        <v>318</v>
      </c>
      <c r="H9" s="11" t="s">
        <v>292</v>
      </c>
      <c r="I9" s="4" t="s">
        <v>319</v>
      </c>
      <c r="J9" s="11" t="s">
        <v>294</v>
      </c>
    </row>
    <row r="10" customFormat="false" ht="15" hidden="false" customHeight="false" outlineLevel="0" collapsed="false">
      <c r="A10" s="11" t="s">
        <v>320</v>
      </c>
      <c r="B10" s="4" t="s">
        <v>321</v>
      </c>
      <c r="C10" s="11" t="s">
        <v>322</v>
      </c>
      <c r="D10" s="11" t="n">
        <v>1</v>
      </c>
      <c r="E10" s="11" t="n">
        <v>3</v>
      </c>
      <c r="F10" s="11" t="n">
        <f aca="false">D10*E10</f>
        <v>3</v>
      </c>
      <c r="G10" s="4" t="s">
        <v>323</v>
      </c>
      <c r="H10" s="11" t="s">
        <v>324</v>
      </c>
      <c r="I10" s="4" t="s">
        <v>325</v>
      </c>
      <c r="J10" s="11" t="s">
        <v>294</v>
      </c>
    </row>
    <row r="11" customFormat="false" ht="15" hidden="false" customHeight="false" outlineLevel="0" collapsed="false">
      <c r="A11" s="11" t="s">
        <v>326</v>
      </c>
      <c r="B11" s="4" t="s">
        <v>327</v>
      </c>
      <c r="C11" s="11" t="s">
        <v>328</v>
      </c>
      <c r="D11" s="11" t="n">
        <v>1</v>
      </c>
      <c r="E11" s="11" t="n">
        <v>2</v>
      </c>
      <c r="F11" s="11" t="n">
        <f aca="false">D11*E11</f>
        <v>2</v>
      </c>
      <c r="G11" s="4" t="s">
        <v>329</v>
      </c>
      <c r="H11" s="11" t="s">
        <v>324</v>
      </c>
      <c r="I11" s="4" t="s">
        <v>330</v>
      </c>
      <c r="J11" s="11" t="s">
        <v>294</v>
      </c>
    </row>
    <row r="12" customFormat="false" ht="15" hidden="false" customHeight="false" outlineLevel="0" collapsed="false">
      <c r="A12" s="11" t="s">
        <v>331</v>
      </c>
      <c r="B12" s="4" t="s">
        <v>332</v>
      </c>
      <c r="C12" s="11" t="s">
        <v>333</v>
      </c>
      <c r="D12" s="11" t="n">
        <v>3</v>
      </c>
      <c r="E12" s="11" t="n">
        <v>2</v>
      </c>
      <c r="F12" s="11" t="n">
        <f aca="false">D12*E12</f>
        <v>6</v>
      </c>
      <c r="G12" s="4" t="s">
        <v>334</v>
      </c>
      <c r="H12" s="11" t="s">
        <v>324</v>
      </c>
      <c r="I12" s="4" t="s">
        <v>335</v>
      </c>
      <c r="J12" s="11" t="s">
        <v>294</v>
      </c>
    </row>
    <row r="13" customFormat="false" ht="15" hidden="false" customHeight="false" outlineLevel="0" collapsed="false">
      <c r="A13" s="11" t="s">
        <v>336</v>
      </c>
      <c r="B13" s="4" t="s">
        <v>337</v>
      </c>
      <c r="C13" s="11" t="s">
        <v>290</v>
      </c>
      <c r="D13" s="11" t="n">
        <v>2</v>
      </c>
      <c r="E13" s="11" t="n">
        <v>1</v>
      </c>
      <c r="F13" s="11" t="n">
        <f aca="false">D13*E13</f>
        <v>2</v>
      </c>
      <c r="G13" s="4" t="s">
        <v>338</v>
      </c>
      <c r="H13" s="11" t="s">
        <v>305</v>
      </c>
      <c r="I13" s="4" t="s">
        <v>339</v>
      </c>
      <c r="J13" s="11" t="s">
        <v>294</v>
      </c>
    </row>
    <row r="14" customFormat="false" ht="15" hidden="false" customHeight="false" outlineLevel="0" collapsed="false">
      <c r="A14" s="11" t="s">
        <v>340</v>
      </c>
      <c r="B14" s="4" t="s">
        <v>341</v>
      </c>
      <c r="C14" s="11" t="s">
        <v>303</v>
      </c>
      <c r="D14" s="11" t="n">
        <v>1</v>
      </c>
      <c r="E14" s="11" t="n">
        <v>2</v>
      </c>
      <c r="F14" s="11" t="n">
        <f aca="false">D14*E14</f>
        <v>2</v>
      </c>
      <c r="G14" s="4" t="s">
        <v>342</v>
      </c>
      <c r="H14" s="11" t="s">
        <v>305</v>
      </c>
      <c r="I14" s="4" t="s">
        <v>343</v>
      </c>
      <c r="J14" s="11" t="s">
        <v>294</v>
      </c>
    </row>
    <row r="15" customFormat="false" ht="15" hidden="false" customHeight="false" outlineLevel="0" collapsed="false">
      <c r="A15" s="11" t="s">
        <v>344</v>
      </c>
      <c r="B15" s="4" t="s">
        <v>345</v>
      </c>
      <c r="C15" s="11" t="s">
        <v>346</v>
      </c>
      <c r="D15" s="11" t="n">
        <v>2</v>
      </c>
      <c r="E15" s="11" t="n">
        <v>2</v>
      </c>
      <c r="F15" s="11" t="n">
        <f aca="false">D15*E15</f>
        <v>4</v>
      </c>
      <c r="G15" s="4" t="s">
        <v>347</v>
      </c>
      <c r="H15" s="11" t="s">
        <v>299</v>
      </c>
      <c r="I15" s="4" t="s">
        <v>348</v>
      </c>
      <c r="J15" s="11" t="s">
        <v>294</v>
      </c>
    </row>
    <row r="17" customFormat="false" ht="15" hidden="false" customHeight="false" outlineLevel="0" collapsed="false">
      <c r="A17" s="2" t="s">
        <v>349</v>
      </c>
    </row>
  </sheetData>
  <autoFilter ref="A3:J15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D4:E15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7"/>
  </cols>
  <sheetData>
    <row r="1" customFormat="false" ht="19.5" hidden="false" customHeight="false" outlineLevel="0" collapsed="false">
      <c r="A1" s="8" t="s">
        <v>350</v>
      </c>
      <c r="B1" s="8"/>
      <c r="C1" s="8"/>
      <c r="D1" s="8"/>
      <c r="E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</row>
    <row r="3" customFormat="false" ht="28" hidden="false" customHeight="false" outlineLevel="0" collapsed="false">
      <c r="A3" s="10" t="s">
        <v>351</v>
      </c>
      <c r="B3" s="10" t="s">
        <v>352</v>
      </c>
      <c r="C3" s="10" t="s">
        <v>353</v>
      </c>
      <c r="D3" s="10" t="s">
        <v>354</v>
      </c>
      <c r="E3" s="10" t="s">
        <v>355</v>
      </c>
    </row>
    <row r="4" customFormat="false" ht="15" hidden="false" customHeight="false" outlineLevel="0" collapsed="false">
      <c r="A4" s="4" t="s">
        <v>356</v>
      </c>
      <c r="B4" s="11" t="s">
        <v>357</v>
      </c>
      <c r="C4" s="11" t="s">
        <v>88</v>
      </c>
      <c r="D4" s="11" t="s">
        <v>88</v>
      </c>
      <c r="E4" s="11" t="s">
        <v>102</v>
      </c>
    </row>
    <row r="5" customFormat="false" ht="15" hidden="false" customHeight="false" outlineLevel="0" collapsed="false">
      <c r="A5" s="4" t="s">
        <v>358</v>
      </c>
      <c r="B5" s="11" t="s">
        <v>102</v>
      </c>
      <c r="C5" s="11" t="s">
        <v>357</v>
      </c>
      <c r="D5" s="11" t="s">
        <v>88</v>
      </c>
      <c r="E5" s="11" t="s">
        <v>88</v>
      </c>
    </row>
    <row r="6" customFormat="false" ht="15" hidden="false" customHeight="false" outlineLevel="0" collapsed="false">
      <c r="A6" s="4" t="s">
        <v>359</v>
      </c>
      <c r="B6" s="11" t="s">
        <v>360</v>
      </c>
      <c r="C6" s="11" t="s">
        <v>357</v>
      </c>
      <c r="D6" s="11" t="s">
        <v>88</v>
      </c>
      <c r="E6" s="11" t="s">
        <v>88</v>
      </c>
    </row>
    <row r="7" customFormat="false" ht="15" hidden="false" customHeight="false" outlineLevel="0" collapsed="false">
      <c r="A7" s="4" t="s">
        <v>361</v>
      </c>
      <c r="B7" s="11" t="s">
        <v>360</v>
      </c>
      <c r="C7" s="11" t="s">
        <v>88</v>
      </c>
      <c r="D7" s="11" t="s">
        <v>357</v>
      </c>
      <c r="E7" s="11" t="s">
        <v>102</v>
      </c>
    </row>
    <row r="8" customFormat="false" ht="15" hidden="false" customHeight="false" outlineLevel="0" collapsed="false">
      <c r="A8" s="4" t="s">
        <v>362</v>
      </c>
      <c r="B8" s="11" t="s">
        <v>360</v>
      </c>
      <c r="C8" s="11" t="s">
        <v>88</v>
      </c>
      <c r="D8" s="11" t="s">
        <v>357</v>
      </c>
      <c r="E8" s="11" t="s">
        <v>88</v>
      </c>
    </row>
    <row r="9" customFormat="false" ht="15" hidden="false" customHeight="false" outlineLevel="0" collapsed="false">
      <c r="A9" s="4" t="s">
        <v>363</v>
      </c>
      <c r="B9" s="11" t="s">
        <v>102</v>
      </c>
      <c r="C9" s="11" t="s">
        <v>88</v>
      </c>
      <c r="D9" s="11" t="s">
        <v>88</v>
      </c>
      <c r="E9" s="11" t="s">
        <v>357</v>
      </c>
    </row>
    <row r="10" customFormat="false" ht="15" hidden="false" customHeight="false" outlineLevel="0" collapsed="false">
      <c r="A10" s="4" t="s">
        <v>364</v>
      </c>
      <c r="B10" s="11" t="s">
        <v>88</v>
      </c>
      <c r="C10" s="11" t="s">
        <v>88</v>
      </c>
      <c r="D10" s="11" t="s">
        <v>102</v>
      </c>
      <c r="E10" s="11" t="s">
        <v>357</v>
      </c>
    </row>
    <row r="11" customFormat="false" ht="15" hidden="false" customHeight="false" outlineLevel="0" collapsed="false">
      <c r="A11" s="4" t="s">
        <v>365</v>
      </c>
      <c r="B11" s="11" t="s">
        <v>357</v>
      </c>
      <c r="C11" s="11" t="s">
        <v>88</v>
      </c>
      <c r="D11" s="11" t="s">
        <v>88</v>
      </c>
      <c r="E11" s="11" t="s">
        <v>102</v>
      </c>
    </row>
    <row r="12" customFormat="false" ht="15" hidden="false" customHeight="false" outlineLevel="0" collapsed="false">
      <c r="A12" s="4" t="s">
        <v>366</v>
      </c>
      <c r="B12" s="11" t="s">
        <v>102</v>
      </c>
      <c r="C12" s="11" t="s">
        <v>88</v>
      </c>
      <c r="D12" s="11" t="s">
        <v>88</v>
      </c>
      <c r="E12" s="11" t="s">
        <v>357</v>
      </c>
    </row>
    <row r="14" customFormat="false" ht="15" hidden="false" customHeight="false" outlineLevel="0" collapsed="false">
      <c r="A14" s="2" t="s">
        <v>367</v>
      </c>
    </row>
  </sheetData>
  <autoFilter ref="A3:E12"/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B4:E12" type="list">
      <formula1>"R,S,C,I"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6" min="6" style="0" width="38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8" t="s">
        <v>368</v>
      </c>
      <c r="B1" s="8"/>
      <c r="C1" s="8"/>
      <c r="D1" s="8"/>
      <c r="E1" s="8"/>
      <c r="F1" s="8"/>
      <c r="G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</row>
    <row r="3" customFormat="false" ht="15" hidden="false" customHeight="false" outlineLevel="0" collapsed="false">
      <c r="A3" s="10" t="s">
        <v>173</v>
      </c>
      <c r="B3" s="10" t="s">
        <v>369</v>
      </c>
      <c r="C3" s="10" t="s">
        <v>370</v>
      </c>
      <c r="D3" s="10" t="s">
        <v>371</v>
      </c>
      <c r="E3" s="10" t="s">
        <v>285</v>
      </c>
      <c r="F3" s="10" t="s">
        <v>351</v>
      </c>
      <c r="G3" s="10" t="s">
        <v>372</v>
      </c>
    </row>
    <row r="4" customFormat="false" ht="15" hidden="false" customHeight="false" outlineLevel="0" collapsed="false">
      <c r="A4" s="11" t="n">
        <v>1</v>
      </c>
      <c r="B4" s="4" t="s">
        <v>373</v>
      </c>
      <c r="C4" s="11" t="n">
        <v>1</v>
      </c>
      <c r="D4" s="11" t="n">
        <v>1</v>
      </c>
      <c r="E4" s="11" t="s">
        <v>324</v>
      </c>
      <c r="F4" s="4" t="s">
        <v>374</v>
      </c>
      <c r="G4" s="11" t="s">
        <v>375</v>
      </c>
    </row>
    <row r="5" customFormat="false" ht="15" hidden="false" customHeight="false" outlineLevel="0" collapsed="false">
      <c r="A5" s="11" t="n">
        <v>2</v>
      </c>
      <c r="B5" s="4" t="s">
        <v>376</v>
      </c>
      <c r="C5" s="11" t="n">
        <v>2</v>
      </c>
      <c r="D5" s="11" t="n">
        <v>2</v>
      </c>
      <c r="E5" s="11" t="s">
        <v>377</v>
      </c>
      <c r="F5" s="4" t="s">
        <v>378</v>
      </c>
      <c r="G5" s="11" t="s">
        <v>379</v>
      </c>
    </row>
    <row r="6" customFormat="false" ht="15" hidden="false" customHeight="false" outlineLevel="0" collapsed="false">
      <c r="A6" s="11" t="n">
        <v>3</v>
      </c>
      <c r="B6" s="4" t="s">
        <v>380</v>
      </c>
      <c r="C6" s="11" t="n">
        <v>2</v>
      </c>
      <c r="D6" s="11" t="n">
        <v>1</v>
      </c>
      <c r="E6" s="11" t="s">
        <v>324</v>
      </c>
      <c r="F6" s="4" t="s">
        <v>381</v>
      </c>
      <c r="G6" s="11" t="s">
        <v>379</v>
      </c>
    </row>
    <row r="7" customFormat="false" ht="15" hidden="false" customHeight="false" outlineLevel="0" collapsed="false">
      <c r="A7" s="11" t="n">
        <v>4</v>
      </c>
      <c r="B7" s="4" t="s">
        <v>382</v>
      </c>
      <c r="C7" s="11" t="n">
        <v>3</v>
      </c>
      <c r="D7" s="11" t="n">
        <v>1</v>
      </c>
      <c r="E7" s="11" t="s">
        <v>383</v>
      </c>
      <c r="F7" s="4" t="s">
        <v>384</v>
      </c>
      <c r="G7" s="11" t="s">
        <v>385</v>
      </c>
    </row>
    <row r="8" customFormat="false" ht="15" hidden="false" customHeight="false" outlineLevel="0" collapsed="false">
      <c r="A8" s="11" t="n">
        <v>5</v>
      </c>
      <c r="B8" s="4" t="s">
        <v>386</v>
      </c>
      <c r="C8" s="11" t="n">
        <v>4</v>
      </c>
      <c r="D8" s="11" t="n">
        <v>2</v>
      </c>
      <c r="E8" s="11" t="s">
        <v>292</v>
      </c>
      <c r="F8" s="4" t="s">
        <v>387</v>
      </c>
      <c r="G8" s="11" t="s">
        <v>388</v>
      </c>
    </row>
    <row r="9" customFormat="false" ht="15" hidden="false" customHeight="false" outlineLevel="0" collapsed="false">
      <c r="A9" s="11" t="n">
        <v>6</v>
      </c>
      <c r="B9" s="4" t="s">
        <v>389</v>
      </c>
      <c r="C9" s="11" t="n">
        <v>4</v>
      </c>
      <c r="D9" s="11" t="n">
        <v>3</v>
      </c>
      <c r="E9" s="11" t="s">
        <v>305</v>
      </c>
      <c r="F9" s="4" t="s">
        <v>390</v>
      </c>
      <c r="G9" s="11" t="s">
        <v>103</v>
      </c>
    </row>
    <row r="10" customFormat="false" ht="15" hidden="false" customHeight="false" outlineLevel="0" collapsed="false">
      <c r="A10" s="11" t="n">
        <v>7</v>
      </c>
      <c r="B10" s="4" t="s">
        <v>391</v>
      </c>
      <c r="C10" s="11" t="n">
        <v>5</v>
      </c>
      <c r="D10" s="11" t="n">
        <v>2</v>
      </c>
      <c r="E10" s="11" t="s">
        <v>392</v>
      </c>
      <c r="F10" s="4" t="s">
        <v>393</v>
      </c>
      <c r="G10" s="11" t="s">
        <v>394</v>
      </c>
    </row>
    <row r="11" customFormat="false" ht="15" hidden="false" customHeight="false" outlineLevel="0" collapsed="false">
      <c r="A11" s="11" t="n">
        <v>8</v>
      </c>
      <c r="B11" s="4" t="s">
        <v>395</v>
      </c>
      <c r="C11" s="11" t="n">
        <v>6</v>
      </c>
      <c r="D11" s="11" t="n">
        <v>2</v>
      </c>
      <c r="E11" s="11" t="s">
        <v>396</v>
      </c>
      <c r="F11" s="4" t="s">
        <v>397</v>
      </c>
      <c r="G11" s="11" t="s">
        <v>398</v>
      </c>
    </row>
    <row r="12" customFormat="false" ht="15" hidden="false" customHeight="false" outlineLevel="0" collapsed="false">
      <c r="A12" s="11" t="n">
        <v>9</v>
      </c>
      <c r="B12" s="4" t="s">
        <v>399</v>
      </c>
      <c r="C12" s="11" t="n">
        <v>7</v>
      </c>
      <c r="D12" s="11" t="n">
        <v>1</v>
      </c>
      <c r="E12" s="11" t="s">
        <v>299</v>
      </c>
      <c r="F12" s="4" t="s">
        <v>400</v>
      </c>
      <c r="G12" s="11" t="s">
        <v>401</v>
      </c>
    </row>
    <row r="13" customFormat="false" ht="15" hidden="false" customHeight="false" outlineLevel="0" collapsed="false">
      <c r="A13" s="11" t="n">
        <v>10</v>
      </c>
      <c r="B13" s="4" t="s">
        <v>402</v>
      </c>
      <c r="C13" s="11" t="n">
        <v>8</v>
      </c>
      <c r="D13" s="11" t="n">
        <v>2</v>
      </c>
      <c r="E13" s="11" t="s">
        <v>403</v>
      </c>
      <c r="F13" s="4" t="s">
        <v>404</v>
      </c>
      <c r="G13" s="11" t="s">
        <v>405</v>
      </c>
    </row>
    <row r="14" customFormat="false" ht="15" hidden="false" customHeight="false" outlineLevel="0" collapsed="false">
      <c r="A14" s="11" t="n">
        <v>11</v>
      </c>
      <c r="B14" s="4" t="s">
        <v>406</v>
      </c>
      <c r="C14" s="11" t="n">
        <v>9</v>
      </c>
      <c r="D14" s="11" t="n">
        <v>2</v>
      </c>
      <c r="E14" s="11" t="s">
        <v>407</v>
      </c>
      <c r="F14" s="4" t="s">
        <v>408</v>
      </c>
      <c r="G14" s="11" t="s">
        <v>409</v>
      </c>
    </row>
    <row r="15" customFormat="false" ht="15" hidden="false" customHeight="false" outlineLevel="0" collapsed="false">
      <c r="A15" s="11" t="n">
        <v>12</v>
      </c>
      <c r="B15" s="4" t="s">
        <v>410</v>
      </c>
      <c r="C15" s="11" t="n">
        <v>10</v>
      </c>
      <c r="D15" s="11" t="n">
        <v>1</v>
      </c>
      <c r="E15" s="11" t="s">
        <v>411</v>
      </c>
      <c r="F15" s="4" t="s">
        <v>412</v>
      </c>
      <c r="G15" s="11" t="s">
        <v>413</v>
      </c>
    </row>
    <row r="16" customFormat="false" ht="15" hidden="false" customHeight="false" outlineLevel="0" collapsed="false">
      <c r="A16" s="11" t="n">
        <v>13</v>
      </c>
      <c r="B16" s="4" t="s">
        <v>414</v>
      </c>
      <c r="C16" s="11" t="n">
        <v>11</v>
      </c>
      <c r="D16" s="11" t="n">
        <v>1</v>
      </c>
      <c r="E16" s="11" t="s">
        <v>411</v>
      </c>
      <c r="F16" s="4" t="s">
        <v>415</v>
      </c>
      <c r="G16" s="11" t="s">
        <v>416</v>
      </c>
    </row>
    <row r="17" customFormat="false" ht="15" hidden="false" customHeight="false" outlineLevel="0" collapsed="false">
      <c r="A17" s="11" t="n">
        <v>14</v>
      </c>
      <c r="B17" s="4" t="s">
        <v>417</v>
      </c>
      <c r="C17" s="11" t="n">
        <v>12</v>
      </c>
      <c r="D17" s="11" t="n">
        <v>1</v>
      </c>
      <c r="E17" s="11" t="s">
        <v>411</v>
      </c>
      <c r="F17" s="4" t="s">
        <v>418</v>
      </c>
      <c r="G17" s="11" t="s">
        <v>419</v>
      </c>
    </row>
    <row r="19" customFormat="false" ht="15" hidden="false" customHeight="false" outlineLevel="0" collapsed="false">
      <c r="A19" s="2" t="s">
        <v>420</v>
      </c>
    </row>
  </sheetData>
  <autoFilter ref="A3:G17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8" min="6" style="0" width="30"/>
    <col collapsed="false" customWidth="true" hidden="false" outlineLevel="0" max="9" min="9" style="0" width="9"/>
    <col collapsed="false" customWidth="true" hidden="false" outlineLevel="0" max="10" min="10" style="0" width="20"/>
  </cols>
  <sheetData>
    <row r="1" customFormat="false" ht="19.5" hidden="false" customHeight="false" outlineLevel="0" collapsed="false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28" hidden="false" customHeight="false" outlineLevel="0" collapsed="false">
      <c r="A3" s="10" t="s">
        <v>421</v>
      </c>
      <c r="B3" s="10" t="s">
        <v>422</v>
      </c>
      <c r="C3" s="10" t="s">
        <v>423</v>
      </c>
      <c r="D3" s="10" t="s">
        <v>424</v>
      </c>
      <c r="E3" s="10" t="s">
        <v>425</v>
      </c>
      <c r="F3" s="10" t="s">
        <v>426</v>
      </c>
      <c r="G3" s="10" t="s">
        <v>427</v>
      </c>
      <c r="H3" s="10" t="s">
        <v>428</v>
      </c>
      <c r="I3" s="10" t="s">
        <v>429</v>
      </c>
      <c r="J3" s="10" t="s">
        <v>430</v>
      </c>
    </row>
    <row r="4" customFormat="false" ht="15" hidden="false" customHeight="false" outlineLevel="0" collapsed="false">
      <c r="A4" s="11" t="s">
        <v>431</v>
      </c>
      <c r="B4" s="11" t="s">
        <v>57</v>
      </c>
      <c r="C4" s="11" t="s">
        <v>60</v>
      </c>
      <c r="D4" s="11"/>
      <c r="E4" s="11" t="s">
        <v>305</v>
      </c>
      <c r="F4" s="4" t="s">
        <v>432</v>
      </c>
      <c r="G4" s="4" t="s">
        <v>433</v>
      </c>
      <c r="H4" s="4"/>
      <c r="I4" s="11"/>
      <c r="J4" s="4" t="s">
        <v>434</v>
      </c>
    </row>
    <row r="5" customFormat="false" ht="27" hidden="false" customHeight="false" outlineLevel="0" collapsed="false">
      <c r="A5" s="11" t="s">
        <v>435</v>
      </c>
      <c r="B5" s="11" t="s">
        <v>66</v>
      </c>
      <c r="C5" s="11" t="s">
        <v>60</v>
      </c>
      <c r="D5" s="11"/>
      <c r="E5" s="11" t="s">
        <v>305</v>
      </c>
      <c r="F5" s="4" t="s">
        <v>436</v>
      </c>
      <c r="G5" s="4" t="s">
        <v>437</v>
      </c>
      <c r="H5" s="4"/>
      <c r="I5" s="11"/>
      <c r="J5" s="4"/>
    </row>
    <row r="6" customFormat="false" ht="15" hidden="false" customHeight="false" outlineLevel="0" collapsed="false">
      <c r="A6" s="11" t="s">
        <v>438</v>
      </c>
      <c r="B6" s="11" t="s">
        <v>50</v>
      </c>
      <c r="C6" s="11" t="s">
        <v>85</v>
      </c>
      <c r="D6" s="11"/>
      <c r="E6" s="11" t="s">
        <v>292</v>
      </c>
      <c r="F6" s="4" t="s">
        <v>439</v>
      </c>
      <c r="G6" s="4" t="s">
        <v>440</v>
      </c>
      <c r="H6" s="4"/>
      <c r="I6" s="11"/>
      <c r="J6" s="4"/>
    </row>
    <row r="8" customFormat="false" ht="15" hidden="false" customHeight="false" outlineLevel="0" collapsed="false">
      <c r="A8" s="2" t="s">
        <v>441</v>
      </c>
    </row>
  </sheetData>
  <autoFilter ref="A3:J6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I4:I200" type="list">
      <formula1>"P,F"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10" min="3" style="0" width="12"/>
    <col collapsed="false" customWidth="true" hidden="false" outlineLevel="0" max="11" min="11" style="0" width="20"/>
  </cols>
  <sheetData>
    <row r="1" customFormat="false" ht="19.5" hidden="false" customHeight="false" outlineLevel="0" collapsed="false">
      <c r="A1" s="8" t="s">
        <v>442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28" hidden="false" customHeight="false" outlineLevel="0" collapsed="false">
      <c r="A3" s="10" t="s">
        <v>443</v>
      </c>
      <c r="B3" s="10" t="s">
        <v>444</v>
      </c>
      <c r="C3" s="10" t="s">
        <v>445</v>
      </c>
      <c r="D3" s="10" t="s">
        <v>446</v>
      </c>
      <c r="E3" s="10" t="s">
        <v>447</v>
      </c>
      <c r="F3" s="10" t="s">
        <v>448</v>
      </c>
      <c r="G3" s="10" t="s">
        <v>449</v>
      </c>
      <c r="H3" s="10" t="s">
        <v>450</v>
      </c>
      <c r="I3" s="10" t="s">
        <v>451</v>
      </c>
      <c r="J3" s="10" t="s">
        <v>452</v>
      </c>
      <c r="K3" s="10" t="s">
        <v>453</v>
      </c>
    </row>
    <row r="4" customFormat="false" ht="15" hidden="false" customHeight="false" outlineLevel="0" collapsed="false">
      <c r="A4" s="11" t="s">
        <v>454</v>
      </c>
      <c r="B4" s="11" t="s">
        <v>455</v>
      </c>
      <c r="C4" s="11" t="s">
        <v>103</v>
      </c>
      <c r="D4" s="11"/>
      <c r="E4" s="11"/>
      <c r="F4" s="11"/>
      <c r="G4" s="11"/>
      <c r="H4" s="11"/>
      <c r="I4" s="11"/>
      <c r="J4" s="11"/>
      <c r="K4" s="4"/>
    </row>
    <row r="5" customFormat="false" ht="15" hidden="false" customHeight="false" outlineLevel="0" collapsed="false">
      <c r="A5" s="11" t="s">
        <v>456</v>
      </c>
      <c r="B5" s="11" t="s">
        <v>457</v>
      </c>
      <c r="C5" s="11" t="s">
        <v>458</v>
      </c>
      <c r="D5" s="11"/>
      <c r="E5" s="11"/>
      <c r="F5" s="11"/>
      <c r="G5" s="11"/>
      <c r="H5" s="11"/>
      <c r="I5" s="11"/>
      <c r="J5" s="11"/>
      <c r="K5" s="4"/>
    </row>
    <row r="6" customFormat="false" ht="15" hidden="false" customHeight="false" outlineLevel="0" collapsed="false">
      <c r="A6" s="11" t="s">
        <v>459</v>
      </c>
      <c r="B6" s="11" t="s">
        <v>457</v>
      </c>
      <c r="C6" s="11" t="s">
        <v>460</v>
      </c>
      <c r="D6" s="11"/>
      <c r="E6" s="11"/>
      <c r="F6" s="11"/>
      <c r="G6" s="11"/>
      <c r="H6" s="11"/>
      <c r="I6" s="11"/>
      <c r="J6" s="11"/>
      <c r="K6" s="4"/>
    </row>
    <row r="7" customFormat="false" ht="27" hidden="false" customHeight="false" outlineLevel="0" collapsed="false">
      <c r="A7" s="11" t="s">
        <v>461</v>
      </c>
      <c r="B7" s="11" t="s">
        <v>462</v>
      </c>
      <c r="C7" s="11" t="s">
        <v>463</v>
      </c>
      <c r="D7" s="11"/>
      <c r="E7" s="11"/>
      <c r="F7" s="11"/>
      <c r="G7" s="11"/>
      <c r="H7" s="11"/>
      <c r="I7" s="11"/>
      <c r="J7" s="11"/>
      <c r="K7" s="4"/>
    </row>
    <row r="8" customFormat="false" ht="15" hidden="false" customHeight="false" outlineLevel="0" collapsed="false">
      <c r="A8" s="11" t="s">
        <v>464</v>
      </c>
      <c r="B8" s="11" t="s">
        <v>465</v>
      </c>
      <c r="C8" s="11" t="s">
        <v>466</v>
      </c>
      <c r="D8" s="11"/>
      <c r="E8" s="11"/>
      <c r="F8" s="11"/>
      <c r="G8" s="11"/>
      <c r="H8" s="11"/>
      <c r="I8" s="11"/>
      <c r="J8" s="11"/>
      <c r="K8" s="4"/>
    </row>
    <row r="9" customFormat="false" ht="15" hidden="false" customHeight="false" outlineLevel="0" collapsed="false">
      <c r="A9" s="11" t="s">
        <v>467</v>
      </c>
      <c r="B9" s="11" t="s">
        <v>468</v>
      </c>
      <c r="C9" s="11" t="s">
        <v>469</v>
      </c>
      <c r="D9" s="11"/>
      <c r="E9" s="11"/>
      <c r="F9" s="11"/>
      <c r="G9" s="11"/>
      <c r="H9" s="11"/>
      <c r="I9" s="11"/>
      <c r="J9" s="11"/>
      <c r="K9" s="4"/>
    </row>
    <row r="11" customFormat="false" ht="15" hidden="false" customHeight="false" outlineLevel="0" collapsed="false">
      <c r="A11" s="2" t="s">
        <v>470</v>
      </c>
    </row>
  </sheetData>
  <autoFilter ref="A3:K9"/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J4:J200" type="list">
      <formula1>"正常,注意,报警,瞬态"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16"/>
  </cols>
  <sheetData>
    <row r="1" customFormat="false" ht="19.5" hidden="false" customHeight="false" outlineLevel="0" collapsed="false">
      <c r="A1" s="8" t="s">
        <v>40</v>
      </c>
      <c r="B1" s="8"/>
      <c r="C1" s="8"/>
      <c r="D1" s="8"/>
      <c r="E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</row>
    <row r="3" customFormat="false" ht="15" hidden="false" customHeight="false" outlineLevel="0" collapsed="false">
      <c r="A3" s="10" t="s">
        <v>43</v>
      </c>
      <c r="B3" s="10" t="s">
        <v>471</v>
      </c>
      <c r="C3" s="10" t="s">
        <v>472</v>
      </c>
      <c r="D3" s="10" t="s">
        <v>473</v>
      </c>
      <c r="E3" s="10" t="s">
        <v>474</v>
      </c>
    </row>
    <row r="4" customFormat="false" ht="15" hidden="false" customHeight="false" outlineLevel="0" collapsed="false">
      <c r="A4" s="11" t="s">
        <v>50</v>
      </c>
      <c r="B4" s="11" t="s">
        <v>475</v>
      </c>
      <c r="C4" s="4" t="s">
        <v>476</v>
      </c>
      <c r="D4" s="4" t="s">
        <v>477</v>
      </c>
      <c r="E4" s="11" t="s">
        <v>21</v>
      </c>
    </row>
    <row r="5" customFormat="false" ht="15" hidden="false" customHeight="false" outlineLevel="0" collapsed="false">
      <c r="A5" s="11" t="s">
        <v>69</v>
      </c>
      <c r="B5" s="11" t="s">
        <v>478</v>
      </c>
      <c r="C5" s="4" t="s">
        <v>479</v>
      </c>
      <c r="D5" s="4" t="s">
        <v>480</v>
      </c>
      <c r="E5" s="11" t="s">
        <v>21</v>
      </c>
    </row>
    <row r="6" customFormat="false" ht="15" hidden="false" customHeight="false" outlineLevel="0" collapsed="false">
      <c r="A6" s="11" t="s">
        <v>61</v>
      </c>
      <c r="B6" s="11" t="s">
        <v>481</v>
      </c>
      <c r="C6" s="4" t="s">
        <v>482</v>
      </c>
      <c r="D6" s="4" t="s">
        <v>483</v>
      </c>
      <c r="E6" s="11" t="s">
        <v>21</v>
      </c>
    </row>
    <row r="7" customFormat="false" ht="15" hidden="false" customHeight="false" outlineLevel="0" collapsed="false">
      <c r="A7" s="11" t="s">
        <v>74</v>
      </c>
      <c r="B7" s="11" t="s">
        <v>475</v>
      </c>
      <c r="C7" s="4" t="s">
        <v>484</v>
      </c>
      <c r="D7" s="4" t="s">
        <v>485</v>
      </c>
      <c r="E7" s="11" t="s">
        <v>21</v>
      </c>
    </row>
    <row r="8" customFormat="false" ht="15" hidden="false" customHeight="false" outlineLevel="0" collapsed="false">
      <c r="A8" s="11" t="s">
        <v>96</v>
      </c>
      <c r="B8" s="11" t="s">
        <v>475</v>
      </c>
      <c r="C8" s="4" t="s">
        <v>486</v>
      </c>
      <c r="D8" s="4" t="s">
        <v>487</v>
      </c>
      <c r="E8" s="11" t="s">
        <v>21</v>
      </c>
    </row>
    <row r="9" customFormat="false" ht="15" hidden="false" customHeight="false" outlineLevel="0" collapsed="false">
      <c r="A9" s="11" t="s">
        <v>100</v>
      </c>
      <c r="B9" s="11" t="s">
        <v>488</v>
      </c>
      <c r="C9" s="4" t="s">
        <v>489</v>
      </c>
      <c r="D9" s="4" t="s">
        <v>490</v>
      </c>
      <c r="E9" s="11" t="s">
        <v>21</v>
      </c>
    </row>
    <row r="10" customFormat="false" ht="27" hidden="false" customHeight="false" outlineLevel="0" collapsed="false">
      <c r="A10" s="11" t="s">
        <v>119</v>
      </c>
      <c r="B10" s="11" t="s">
        <v>475</v>
      </c>
      <c r="C10" s="4" t="s">
        <v>491</v>
      </c>
      <c r="D10" s="4" t="s">
        <v>492</v>
      </c>
      <c r="E10" s="11" t="s">
        <v>21</v>
      </c>
    </row>
    <row r="11" customFormat="false" ht="15" hidden="false" customHeight="false" outlineLevel="0" collapsed="false">
      <c r="A11" s="11" t="s">
        <v>145</v>
      </c>
      <c r="B11" s="11" t="s">
        <v>478</v>
      </c>
      <c r="C11" s="4" t="s">
        <v>493</v>
      </c>
      <c r="D11" s="4" t="s">
        <v>494</v>
      </c>
      <c r="E11" s="11" t="s">
        <v>21</v>
      </c>
    </row>
    <row r="12" customFormat="false" ht="15" hidden="false" customHeight="false" outlineLevel="0" collapsed="false">
      <c r="A12" s="11" t="s">
        <v>71</v>
      </c>
      <c r="B12" s="11" t="s">
        <v>478</v>
      </c>
      <c r="C12" s="4" t="s">
        <v>495</v>
      </c>
      <c r="D12" s="4" t="s">
        <v>494</v>
      </c>
      <c r="E12" s="11" t="s">
        <v>21</v>
      </c>
    </row>
    <row r="13" customFormat="false" ht="15" hidden="false" customHeight="false" outlineLevel="0" collapsed="false">
      <c r="A13" s="11" t="s">
        <v>151</v>
      </c>
      <c r="B13" s="11" t="s">
        <v>488</v>
      </c>
      <c r="C13" s="4" t="s">
        <v>496</v>
      </c>
      <c r="D13" s="4" t="s">
        <v>497</v>
      </c>
      <c r="E13" s="11" t="s">
        <v>21</v>
      </c>
    </row>
    <row r="14" customFormat="false" ht="15" hidden="false" customHeight="false" outlineLevel="0" collapsed="false">
      <c r="A14" s="11" t="s">
        <v>121</v>
      </c>
      <c r="B14" s="11" t="s">
        <v>475</v>
      </c>
      <c r="C14" s="4" t="s">
        <v>498</v>
      </c>
      <c r="D14" s="4" t="s">
        <v>499</v>
      </c>
      <c r="E14" s="11" t="s">
        <v>21</v>
      </c>
    </row>
    <row r="15" customFormat="false" ht="27" hidden="false" customHeight="false" outlineLevel="0" collapsed="false">
      <c r="A15" s="11" t="s">
        <v>103</v>
      </c>
      <c r="B15" s="11" t="s">
        <v>500</v>
      </c>
      <c r="C15" s="4" t="s">
        <v>501</v>
      </c>
      <c r="D15" s="4" t="s">
        <v>502</v>
      </c>
      <c r="E15" s="11" t="s">
        <v>25</v>
      </c>
    </row>
    <row r="17" customFormat="false" ht="15" hidden="false" customHeight="false" outlineLevel="0" collapsed="false">
      <c r="A17" s="2" t="s">
        <v>503</v>
      </c>
    </row>
  </sheetData>
  <autoFilter ref="A3:E15"/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B4:B15" type="list">
      <formula1>"修订,删除,收窄,保留,新增"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8" t="s">
        <v>504</v>
      </c>
      <c r="B1" s="8"/>
      <c r="C1" s="8"/>
      <c r="D1" s="8"/>
      <c r="E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</row>
    <row r="3" customFormat="false" ht="15" hidden="false" customHeight="false" outlineLevel="0" collapsed="false">
      <c r="A3" s="10" t="s">
        <v>4</v>
      </c>
      <c r="B3" s="10" t="s">
        <v>505</v>
      </c>
      <c r="C3" s="10" t="s">
        <v>506</v>
      </c>
      <c r="D3" s="10" t="s">
        <v>471</v>
      </c>
      <c r="E3" s="10" t="s">
        <v>507</v>
      </c>
    </row>
    <row r="4" customFormat="false" ht="15" hidden="false" customHeight="false" outlineLevel="0" collapsed="false">
      <c r="A4" s="11" t="s">
        <v>508</v>
      </c>
      <c r="B4" s="11" t="s">
        <v>7</v>
      </c>
      <c r="C4" s="11" t="s">
        <v>324</v>
      </c>
      <c r="D4" s="11" t="s">
        <v>509</v>
      </c>
      <c r="E4" s="4" t="s">
        <v>510</v>
      </c>
    </row>
    <row r="5" customFormat="false" ht="39.5" hidden="false" customHeight="false" outlineLevel="0" collapsed="false">
      <c r="A5" s="11" t="s">
        <v>5</v>
      </c>
      <c r="B5" s="11" t="s">
        <v>7</v>
      </c>
      <c r="C5" s="11" t="s">
        <v>324</v>
      </c>
      <c r="D5" s="11" t="s">
        <v>511</v>
      </c>
      <c r="E5" s="4" t="s">
        <v>512</v>
      </c>
    </row>
    <row r="7" customFormat="false" ht="15" hidden="false" customHeight="false" outlineLevel="0" collapsed="false">
      <c r="A7" s="2" t="s">
        <v>513</v>
      </c>
    </row>
  </sheetData>
  <autoFilter ref="A3:E5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2026-10-13T11:00:56Z</dcterms:created>
  <dc:creator>openpyxl</dc:creator>
  <dc:description/>
  <dc:language>en-US</dc:language>
  <cp:lastModifiedBy/>
  <dcterms:modified xsi:type="dcterms:W3CDTF">2026-10-13T11:00:56Z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